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esouro-my.sharepoint.com/personal/gustavo_russomanno_tesouro_gov_br/Documents/8 Agosto/"/>
    </mc:Choice>
  </mc:AlternateContent>
  <xr:revisionPtr revIDLastSave="0" documentId="8_{60D0204E-D61B-4E14-958D-E5189B0AEF28}" xr6:coauthVersionLast="47" xr6:coauthVersionMax="47" xr10:uidLastSave="{00000000-0000-0000-0000-000000000000}"/>
  <bookViews>
    <workbookView xWindow="-108" yWindow="-108" windowWidth="23256" windowHeight="12456" xr2:uid="{5BBDF065-FD8C-4B00-8B79-2F8B1E2CF671}"/>
  </bookViews>
  <sheets>
    <sheet name="1.1" sheetId="1" r:id="rId1"/>
  </sheets>
  <externalReferences>
    <externalReference r:id="rId2"/>
  </externalReferences>
  <definedNames>
    <definedName name="\a">#REF!</definedName>
    <definedName name="\i">#REF!</definedName>
    <definedName name="\j">#REF!</definedName>
    <definedName name="\k">#REF!</definedName>
    <definedName name="\p">#REF!</definedName>
    <definedName name="_01_01_06">#REF!</definedName>
    <definedName name="_01_04_04">#REF!</definedName>
    <definedName name="_01_04_05">#REF!</definedName>
    <definedName name="_01_07_04">#REF!</definedName>
    <definedName name="_01_07_05">#REF!</definedName>
    <definedName name="_01_10_03">OFFSET(#REF!,0,0,COUNTA(#REF!)-1)</definedName>
    <definedName name="_01_10_04">#REF!</definedName>
    <definedName name="_02_Jan2004">#REF!</definedName>
    <definedName name="_04_01_05">#REF!</definedName>
    <definedName name="_07_01_04">#REF!</definedName>
    <definedName name="_1_">#REF!</definedName>
    <definedName name="_15">#REF!</definedName>
    <definedName name="_2_">#REF!</definedName>
    <definedName name="_26">#REF!</definedName>
    <definedName name="_2TAXA_DE">#REF!</definedName>
    <definedName name="_4_">#REF!</definedName>
    <definedName name="_5_">#REF!</definedName>
    <definedName name="_5TAXA_DE">#REF!</definedName>
    <definedName name="_6TAXA_DE">#REF!</definedName>
    <definedName name="_7TAXA_DE">#REF!</definedName>
    <definedName name="_abr01">#REF!</definedName>
    <definedName name="_abr08">#REF!</definedName>
    <definedName name="_abr09">#REF!</definedName>
    <definedName name="_ago08">#REF!</definedName>
    <definedName name="_ID">"II.19 BACEN balancete passivo(5)"</definedName>
    <definedName name="_Jan2004">#REF!</definedName>
    <definedName name="_jul08">#REF!</definedName>
    <definedName name="_jun08">#REF!</definedName>
    <definedName name="_Lin1">8</definedName>
    <definedName name="_Lin2">12</definedName>
    <definedName name="_Lin3">42</definedName>
    <definedName name="_mar08">#REF!</definedName>
    <definedName name="_NCol">7</definedName>
    <definedName name="_out08">#REF!</definedName>
    <definedName name="_PIB01">#REF!</definedName>
    <definedName name="_PIB02">#REF!</definedName>
    <definedName name="_PIB03">#REF!</definedName>
    <definedName name="_PIB04">#REF!</definedName>
    <definedName name="_PIB05">#REF!</definedName>
    <definedName name="_PIB06">#REF!</definedName>
    <definedName name="_PIB90">#REF!</definedName>
    <definedName name="_PIB91">#REF!</definedName>
    <definedName name="_PIB92">#REF!</definedName>
    <definedName name="_PIB93">#REF!</definedName>
    <definedName name="_PIB94">#REF!</definedName>
    <definedName name="_PIB95">#REF!</definedName>
    <definedName name="_PIB96">#REF!</definedName>
    <definedName name="_PIB97">#REF!</definedName>
    <definedName name="_PIB98">#REF!</definedName>
    <definedName name="_PIB99">#REF!</definedName>
    <definedName name="_pm201">#REF!</definedName>
    <definedName name="_pm202">#REF!</definedName>
    <definedName name="_pm203">#REF!</definedName>
    <definedName name="_pm204">#REF!</definedName>
    <definedName name="_pm205">#REF!</definedName>
    <definedName name="_pm206">#REF!</definedName>
    <definedName name="_pm207">#REF!</definedName>
    <definedName name="_pm208">#REF!</definedName>
    <definedName name="_pm209">#REF!</definedName>
    <definedName name="_pm210">#REF!</definedName>
    <definedName name="_pm211">#REF!</definedName>
    <definedName name="_pm212">#REF!</definedName>
    <definedName name="_pm213">#REF!</definedName>
    <definedName name="_pm214">#REF!</definedName>
    <definedName name="_pm215">#REF!</definedName>
    <definedName name="_pm216">#REF!</definedName>
    <definedName name="_pm217">#REF!</definedName>
    <definedName name="_pm218">#REF!</definedName>
    <definedName name="_pm219">#REF!</definedName>
    <definedName name="_pm220">#REF!</definedName>
    <definedName name="_pm221">#REF!</definedName>
    <definedName name="_pm222">#REF!</definedName>
    <definedName name="_pm223">#REF!</definedName>
    <definedName name="_pm224">#REF!</definedName>
    <definedName name="_pm225">#REF!</definedName>
    <definedName name="_pm226">#REF!</definedName>
    <definedName name="_r">OFFSET(OFFSET(#REF!,MATCH(#REF!,RE_DT_POR,0),0),0,0,ROWS(RE_DT_POR)-MATCH(#REF!,RE_DT_POR,0)+1)</definedName>
    <definedName name="_Regression_Int" hidden="1">1</definedName>
    <definedName name="_set08">#REF!</definedName>
    <definedName name="_Tipo">1</definedName>
    <definedName name="a">OFFSET(OFFSET(#REF!,MATCH(#REF!,RE_DT_POR,0),0),0,0,ROWS(RE_DT_POR)-MATCH(#REF!,RE_DT_POR,0)+1)</definedName>
    <definedName name="AAA">#REF!</definedName>
    <definedName name="abril10">#REF!</definedName>
    <definedName name="abril11">#REF!</definedName>
    <definedName name="Abril12">#REF!</definedName>
    <definedName name="abril2008">#REF!</definedName>
    <definedName name="ACCOUNTS_DB">#REF!</definedName>
    <definedName name="Acima_de_10_anos">#REF!</definedName>
    <definedName name="AÇOPALMAII">#REF!</definedName>
    <definedName name="ad" hidden="1">#REF!</definedName>
    <definedName name="ADICIONAIS">#REF!</definedName>
    <definedName name="agosto">#REF!</definedName>
    <definedName name="agosto11">#REF!</definedName>
    <definedName name="Agosto12">#REF!</definedName>
    <definedName name="agosto2008">#REF!</definedName>
    <definedName name="Agosto2010">#REF!</definedName>
    <definedName name="AMARELO">#REF!</definedName>
    <definedName name="AMEIXA">#REF!</definedName>
    <definedName name="Amortização">#REF!</definedName>
    <definedName name="area">#REF!</definedName>
    <definedName name="_xlnm.Print_Area" localSheetId="0">'1.1'!$A$2:$FQ$44</definedName>
    <definedName name="_xlnm.Print_Area">#REF!</definedName>
    <definedName name="area_de_impressaoEST">#REF!</definedName>
    <definedName name="Área_impressão_DIR">#REF!</definedName>
    <definedName name="Até_1_ano">#REF!</definedName>
    <definedName name="ATIVIDADE">#REF!</definedName>
    <definedName name="awdsaedf">#REF!</definedName>
    <definedName name="axa">#REF!</definedName>
    <definedName name="AZUL">#REF!</definedName>
    <definedName name="b">#REF!</definedName>
    <definedName name="BANCO_CENTRAL_DO_BRASIL">#REF!</definedName>
    <definedName name="_xlnm.Database">#REF!</definedName>
    <definedName name="BANRORAIMA_PMBOAVISTA">#REF!</definedName>
    <definedName name="BBB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4B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5B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19B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CC">#REF!</definedName>
    <definedName name="BNDESPAR">#REF!</definedName>
    <definedName name="BolCopin">#REF!,#REF!,#REF!</definedName>
    <definedName name="Brasil___Produto_Interno_Bruto___PIB">#REF!</definedName>
    <definedName name="cambio">#REF!</definedName>
    <definedName name="Câmbio_por">OFFSET(#REF!,0,0,COUNTA(#REF!)-1)</definedName>
    <definedName name="CAPA">#REF!</definedName>
    <definedName name="Cenário_tendência">#REF!</definedName>
    <definedName name="CINZA">#REF!</definedName>
    <definedName name="COF">#N/A</definedName>
    <definedName name="d">OFFSET(OFFSET(#REF!,MATCH(#REF!,RE_DT_POR,0),0),0,0,ROWS(RE_DT_POR)-MATCH(#REF!,RE_DT_POR,0)+1)</definedName>
    <definedName name="dados">#REF!</definedName>
    <definedName name="DATA">OFFSET(#REF!,0,0,COUNTA(#REF!)-1)</definedName>
    <definedName name="DATA_ing">OFFSET(#REF!,0,0,COUNTA(#REF!)-1)</definedName>
    <definedName name="DATA_por">OFFSET(#REF!,0,0,COUNTA(#REF!)-1)</definedName>
    <definedName name="dd">#REF!</definedName>
    <definedName name="dez">#REF!</definedName>
    <definedName name="dezembro">#REF!</definedName>
    <definedName name="dezembro08">#REF!</definedName>
    <definedName name="dezembro10">#REF!</definedName>
    <definedName name="dezembro11">#REF!</definedName>
    <definedName name="dezembro12">#REF!</definedName>
    <definedName name="DIAATUAL">#REF!</definedName>
    <definedName name="DIARIO1B">#REF!</definedName>
    <definedName name="DIARIO1E">#REF!</definedName>
    <definedName name="DIARIO2A">#REF!</definedName>
    <definedName name="DIARIO2B">#REF!</definedName>
    <definedName name="DIARIO2E">#REF!</definedName>
    <definedName name="DiasBase">#REF!</definedName>
    <definedName name="DiasBase1">#REF!</definedName>
    <definedName name="DiasBase2">#REF!</definedName>
    <definedName name="DiasBase3">#REF!</definedName>
    <definedName name="DiasBase4">#REF!</definedName>
    <definedName name="dólar">#REF!</definedName>
    <definedName name="DPF" hidden="1">{#N/A,#N/A,FALSE,"DIVIG"}</definedName>
    <definedName name="DPF_1" hidden="1">{#N/A,#N/A,FALSE,"DIVIG"}</definedName>
    <definedName name="dt">#REF!</definedName>
    <definedName name="EBTU">#REF!</definedName>
    <definedName name="Emissão">#REF!</definedName>
    <definedName name="emitido">#REF!</definedName>
    <definedName name="Entre_1_e_5_anos">#REF!</definedName>
    <definedName name="Entre_5_e_10_anos">#REF!</definedName>
    <definedName name="estoque_atual">#REF!</definedName>
    <definedName name="EXTERNO">#REF!</definedName>
    <definedName name="Feriado">#REF!</definedName>
    <definedName name="fevereiro">#REF!</definedName>
    <definedName name="fevereiro08">#REF!</definedName>
    <definedName name="Fevereiro10">#REF!</definedName>
    <definedName name="fevereiro11">#REF!</definedName>
    <definedName name="Fevereiro12">#REF!</definedName>
    <definedName name="Fevereiro2012">#REF!</definedName>
    <definedName name="FISCAL">#REF!</definedName>
    <definedName name="Fram_TIR">#REF!</definedName>
    <definedName name="FUNDAF">#N/A</definedName>
    <definedName name="Graf4">#REF!</definedName>
    <definedName name="_xlnm.Recorder">#REF!</definedName>
    <definedName name="Hedings">#REF!</definedName>
    <definedName name="historico">#REF!</definedName>
    <definedName name="HTML_CodePage" hidden="1">1252</definedName>
    <definedName name="HTML_Control" hidden="1">{"'Emissoes'!$B$1:$Q$80"}</definedName>
    <definedName name="HTML_Control_1" hidden="1">{"'Emissoes'!$B$1:$Q$80"}</definedName>
    <definedName name="HTML_Description" hidden="1">""</definedName>
    <definedName name="HTML_Email" hidden="1">""</definedName>
    <definedName name="HTML_Header" hidden="1">"Emissoes"</definedName>
    <definedName name="HTML_LastUpdate" hidden="1">"13/12/2000"</definedName>
    <definedName name="HTML_LineAfter" hidden="1">FALSE</definedName>
    <definedName name="HTML_LineBefore" hidden="1">FALSE</definedName>
    <definedName name="HTML_Name" hidden="1">"lfcgomes"</definedName>
    <definedName name="HTML_OBDlg2" hidden="1">TRUE</definedName>
    <definedName name="HTML_OBDlg4" hidden="1">TRUE</definedName>
    <definedName name="HTML_OS" hidden="1">0</definedName>
    <definedName name="HTML_PathFile" hidden="1">"C:\Ext\sovtemp.htm"</definedName>
    <definedName name="HTML_Title" hidden="1">"soberanos"</definedName>
    <definedName name="IAA">#REF!</definedName>
    <definedName name="igp">#REF!</definedName>
    <definedName name="IGP_DI">#REF!</definedName>
    <definedName name="IGP_M">#REF!</definedName>
    <definedName name="igpdic">#REF!</definedName>
    <definedName name="IMP">#N/A</definedName>
    <definedName name="IMPRESS2">#REF!</definedName>
    <definedName name="Índice_selecionado">#REF!</definedName>
    <definedName name="ÍNDICES">#REF!</definedName>
    <definedName name="inggraf">#REF!</definedName>
    <definedName name="INICIOFILTRADO">#REF!</definedName>
    <definedName name="IOF">#N/A</definedName>
    <definedName name="IPC_SGV">#REF!</definedName>
    <definedName name="IPIB">#N/A</definedName>
    <definedName name="IPID">#N/A</definedName>
    <definedName name="IPIV">#N/A</definedName>
    <definedName name="IRRFO">#N/A</definedName>
    <definedName name="itaipu423">#REF!</definedName>
    <definedName name="ITR">#N/A</definedName>
    <definedName name="IV.22___Índices_de_taxas_reais_de_câmbio">#REF!</definedName>
    <definedName name="IV.30___Taxa_de_câmbio___segmento_livre1">#REF!</definedName>
    <definedName name="ja" hidden="1">#REF!</definedName>
    <definedName name="janeiro08">#REF!</definedName>
    <definedName name="janeiro09">#REF!</definedName>
    <definedName name="janeiro10">#REF!</definedName>
    <definedName name="janeiro11">#REF!</definedName>
    <definedName name="janeiro12">#REF!</definedName>
    <definedName name="janeiro2009">#REF!</definedName>
    <definedName name="julh08">#REF!</definedName>
    <definedName name="Julho">#REF!</definedName>
    <definedName name="Julho01">#REF!</definedName>
    <definedName name="julho11">#REF!</definedName>
    <definedName name="julho2010">#REF!</definedName>
    <definedName name="julho2012">#REF!</definedName>
    <definedName name="junho">#REF!</definedName>
    <definedName name="junho10">#REF!</definedName>
    <definedName name="Junho11">#REF!</definedName>
    <definedName name="junho12">#REF!</definedName>
    <definedName name="JUROS">#REF!</definedName>
    <definedName name="k">#REF!</definedName>
    <definedName name="LARANJA">#REF!</definedName>
    <definedName name="LFT">#REF!</definedName>
    <definedName name="Lista_índices">#REF!</definedName>
    <definedName name="LLOYDS">#REF!</definedName>
    <definedName name="LTN">#REF!</definedName>
    <definedName name="maio">#REF!</definedName>
    <definedName name="Maio08">#REF!</definedName>
    <definedName name="maio10">#REF!</definedName>
    <definedName name="maio11">#REF!</definedName>
    <definedName name="Maio12">#REF!</definedName>
    <definedName name="maio2008">#REF!</definedName>
    <definedName name="MAPA1">#REF!</definedName>
    <definedName name="MAPA2">#REF!</definedName>
    <definedName name="MAPA3">#REF!</definedName>
    <definedName name="MAPA4">#REF!</definedName>
    <definedName name="MAPA5">#REF!</definedName>
    <definedName name="MAPA6">#REF!</definedName>
    <definedName name="MAPA7">#REF!</definedName>
    <definedName name="MAPA8">#REF!</definedName>
    <definedName name="MAPA9">#REF!</definedName>
    <definedName name="março">#REF!</definedName>
    <definedName name="março08">#REF!</definedName>
    <definedName name="março10">#REF!</definedName>
    <definedName name="março11">#REF!</definedName>
    <definedName name="Março12">#REF!</definedName>
    <definedName name="MARINHO">#REF!</definedName>
    <definedName name="MARRON">#REF!</definedName>
    <definedName name="MATURACAO">#REF!</definedName>
    <definedName name="MENSAL2">#REF!</definedName>
    <definedName name="MENSAL4">#REF!</definedName>
    <definedName name="merc">#REF!</definedName>
    <definedName name="MERCADODETRABALHO">#REF!</definedName>
    <definedName name="MERCTRABALHO">#REF!</definedName>
    <definedName name="MES_REF">#REF!</definedName>
    <definedName name="MESATUAL">#REF!</definedName>
    <definedName name="Meta_At_PM_IGP">#REF!</definedName>
    <definedName name="Meta_At_PM_Papel">#REF!</definedName>
    <definedName name="mm">#REF!</definedName>
    <definedName name="MONETÁRIO">#REF!</definedName>
    <definedName name="mudar">OFFSET(OFFSET(#REF!,MATCH(#REF!,RE_DT_POR,0),0),0,0,ROWS(RE_DT_POR)-MATCH(#REF!,RE_DT_POR,0)+1)</definedName>
    <definedName name="norte_ferro">#REF!</definedName>
    <definedName name="norteferro">#REF!</definedName>
    <definedName name="NotaImp03_04_2002_11_41_24">#REF!</definedName>
    <definedName name="NotaImp03_07_2002_17_58_20">#REF!</definedName>
    <definedName name="NotaImp04_09_02_08_38_23">#REF!</definedName>
    <definedName name="NotaImp04_10_2002_10_59_10">#REF!</definedName>
    <definedName name="NotaImp05_02_02_11_27_35">#REF!</definedName>
    <definedName name="NotaImp05_02_2003_15_21_31">#REF!</definedName>
    <definedName name="NotaImp05_03_2002_16_00_47">#REF!</definedName>
    <definedName name="NotaImp05_12_2002_08_15_25">#REF!</definedName>
    <definedName name="NotaImp06_08_2002_11_27_18">#REF!</definedName>
    <definedName name="NotaImp06_11_01_16_43_31">#REF!</definedName>
    <definedName name="NotaImp06_11_2002_09_23_06">#REF!</definedName>
    <definedName name="NotaImp07_11_01_14_57_44">#REF!</definedName>
    <definedName name="NotaImp08_01_02_11_21_23">#REF!</definedName>
    <definedName name="NotaImp08_01_2003_16_27_24">#REF!</definedName>
    <definedName name="NotaImp08_05_2002_15_46_45">#REF!</definedName>
    <definedName name="NotaImp08_08_01_14_37_48">#REF!</definedName>
    <definedName name="NotaImp10_03_2003_12_04_29">#REF!</definedName>
    <definedName name="NotaImp12_03_01_11_19_12">#REF!</definedName>
    <definedName name="NotaImp14_06_00_20_15_30">#REF!</definedName>
    <definedName name="NotaImp20_05_2002_14_55_15">#REF!</definedName>
    <definedName name="NotaImp21_06_00_15_03_50">#REF!</definedName>
    <definedName name="NotaImp29_06_00_19_36_22">#REF!</definedName>
    <definedName name="NotaImp29_06_00_20_02_04">#REF!</definedName>
    <definedName name="Notimp">#REF!</definedName>
    <definedName name="nov">#REF!</definedName>
    <definedName name="novembro">#REF!</definedName>
    <definedName name="novembro08">#REF!</definedName>
    <definedName name="novembro10">#REF!</definedName>
    <definedName name="novembro11">#REF!</definedName>
    <definedName name="Novembro12">#REF!</definedName>
    <definedName name="Novo" hidden="1">#REF!</definedName>
    <definedName name="NTNB">#REF!</definedName>
    <definedName name="NTNBP">#REF!</definedName>
    <definedName name="NTNF">#REF!</definedName>
    <definedName name="outubro">#REF!</definedName>
    <definedName name="Outubro08">#REF!</definedName>
    <definedName name="outubro09">#REF!</definedName>
    <definedName name="outubro11">#REF!</definedName>
    <definedName name="Outubro12">#REF!</definedName>
    <definedName name="Outubro2010">#REF!</definedName>
    <definedName name="Pagemaker">#REF!</definedName>
    <definedName name="PARAMETROS">#REF!</definedName>
    <definedName name="Período">#REF!</definedName>
    <definedName name="PIB">#REF!</definedName>
    <definedName name="PIB00">#REF!</definedName>
    <definedName name="PIBMENSAL">#REF!</definedName>
    <definedName name="Planilha_10ÁreaTotal">#REF!,#REF!</definedName>
    <definedName name="Planilha_10TítCols">#REF!,#REF!</definedName>
    <definedName name="Planilha_11ÁreaTotal">#REF!,#REF!</definedName>
    <definedName name="Planilha_11TítCols">#REF!,#REF!</definedName>
    <definedName name="Planilha_1ÁreaTotal">#REF!,#REF!</definedName>
    <definedName name="Planilha_1TítCols">#REF!,#REF!</definedName>
    <definedName name="Planilha_2ÁreaTotal">#REF!,#REF!</definedName>
    <definedName name="Planilha_2TítCols">#REF!,#REF!</definedName>
    <definedName name="Planilha_3ÁreaTotal">#REF!,#REF!</definedName>
    <definedName name="Planilha_3TítCols">#REF!,#REF!</definedName>
    <definedName name="Planilha_4ÁreaTotal">#REF!,#REF!</definedName>
    <definedName name="Planilha_4TítCols">#REF!,#REF!</definedName>
    <definedName name="Planilha_5ÁreaTotal">#REF!,#REF!</definedName>
    <definedName name="Planilha_5TítCols">#REF!,#REF!</definedName>
    <definedName name="Planilha_6ÁreaTotal">#REF!,#REF!</definedName>
    <definedName name="Planilha_6TítCols">#REF!,#REF!</definedName>
    <definedName name="Planilha_7ÁreaTotal">#REF!,#REF!</definedName>
    <definedName name="Planilha_7TítCols">#REF!,#REF!</definedName>
    <definedName name="Planilha_8ÁreaTotal">#REF!,#REF!</definedName>
    <definedName name="Planilha_8TítCols">#REF!,#REF!</definedName>
    <definedName name="Planilha_9ÁreaTotal">#REF!,#REF!</definedName>
    <definedName name="Planilha_9TítCols">#REF!,#REF!</definedName>
    <definedName name="pm208A">#REF!</definedName>
    <definedName name="pm211A">#REF!</definedName>
    <definedName name="pm211B">#REF!</definedName>
    <definedName name="pm211C">#REF!</definedName>
    <definedName name="pm211D">#REF!</definedName>
    <definedName name="pm211E">#REF!</definedName>
    <definedName name="pm211F">#REF!</definedName>
    <definedName name="pm211G">#REF!</definedName>
    <definedName name="pm221A">#REF!</definedName>
    <definedName name="pm222A">#REF!</definedName>
    <definedName name="pm223A">#REF!</definedName>
    <definedName name="pr">#REF!</definedName>
    <definedName name="pra">#REF!</definedName>
    <definedName name="Pré_por">OFFSET(#REF!,0,0,COUNTA(#REF!)-1)</definedName>
    <definedName name="Preço_por">OFFSET(#REF!,0,0,COUNTA(#REF!)-1)</definedName>
    <definedName name="Prefixado">OFFSET(OFFSET(#REF!,MATCH(#REF!,RE_DT_POR,0),0),0,0,ROWS(RE_DT_POR)-MATCH(#REF!,RE_DT_POR,0)+1)</definedName>
    <definedName name="previsão">#REF!</definedName>
    <definedName name="Principal">#REF!</definedName>
    <definedName name="Print_Area_MI">#REF!</definedName>
    <definedName name="Quadro_II___Base_monetária_e_componentes">#REF!</definedName>
    <definedName name="Quadro_VI___Meios_de_pagamento_e_componentes">#REF!</definedName>
    <definedName name="RE_DT_FIM">OFFSET(OFFSET(#REF!,MATCH(#REF!,RE_DT_POR,0),0),0,0,ROWS(RE_DT_POR)-MATCH(#REF!,RE_DT_POR,0)+1)</definedName>
    <definedName name="RE_DT_POR">OFFSET(#REF!,0,0,COUNTA(#REF!)-1)</definedName>
    <definedName name="realizado">#REF!</definedName>
    <definedName name="resumo">#REF!</definedName>
    <definedName name="ret">#REF!</definedName>
    <definedName name="REXT">#N/A</definedName>
    <definedName name="RODAPE1">#REF!</definedName>
    <definedName name="RODAPE6">#REF!</definedName>
    <definedName name="RODAPE7">#REF!</definedName>
    <definedName name="RODAPE8">#REF!</definedName>
    <definedName name="RSC">#REF!</definedName>
    <definedName name="Saldo_anterior">#REF!</definedName>
    <definedName name="Saldo_atual">#REF!</definedName>
    <definedName name="Saldos_em_final_de_período">#REF!</definedName>
    <definedName name="SELIC">#REF!</definedName>
    <definedName name="SELIC_por">OFFSET(#REF!,0,0,COUNTA(#REF!)-1)</definedName>
    <definedName name="Semana1">#REF!</definedName>
    <definedName name="Semana2">#REF!</definedName>
    <definedName name="Semana3">#REF!</definedName>
    <definedName name="Semana4">#REF!</definedName>
    <definedName name="Semana5">#REF!</definedName>
    <definedName name="set">#REF!</definedName>
    <definedName name="sete">#REF!</definedName>
    <definedName name="setembro">#REF!</definedName>
    <definedName name="setembro08">#REF!</definedName>
    <definedName name="setembro11">#REF!</definedName>
    <definedName name="Setembro12">#REF!</definedName>
    <definedName name="setembro2010">#REF!</definedName>
    <definedName name="ss">#REF!</definedName>
    <definedName name="tab_aux_valores">#REF!</definedName>
    <definedName name="tabela_aux_total">#REF!</definedName>
    <definedName name="TABELÃOFILTRADO">#REF!</definedName>
    <definedName name="Taxa_câmbio">#REF!</definedName>
    <definedName name="TAXAJUROS">#REF!</definedName>
    <definedName name="TAXAJUROS1">#REF!</definedName>
    <definedName name="TAXAJUROS2">#REF!</definedName>
    <definedName name="TAXAJUROS3">#REF!</definedName>
    <definedName name="TAXAJUROS4">#REF!</definedName>
    <definedName name="TESTE">OFFSET(#REF!,0,0,COUNTA(#REF!)-1)</definedName>
    <definedName name="text" hidden="1">{#N/A,#N/A,FALSE,"DIVIG"}</definedName>
    <definedName name="text_1" hidden="1">{#N/A,#N/A,FALSE,"DIVIG"}</definedName>
    <definedName name="TJLP_BNDES">#REF!</definedName>
    <definedName name="total_bcomercial">#REF!</definedName>
    <definedName name="total_classe">#REF!</definedName>
    <definedName name="total_estrangeiros">#REF!</definedName>
    <definedName name="total_fundos">#REF!</definedName>
    <definedName name="total_outros">#REF!</definedName>
    <definedName name="total_prev">#REF!</definedName>
    <definedName name="TR">#REF!</definedName>
    <definedName name="Último_Leilão">#REF!</definedName>
    <definedName name="ULTMES">#REF!</definedName>
    <definedName name="valores">#REF!</definedName>
    <definedName name="VERDE">#REF!</definedName>
    <definedName name="VERMELHO">#REF!</definedName>
    <definedName name="VOTOS">#REF!</definedName>
    <definedName name="wrn.DIESP." hidden="1">{#N/A,#N/A,FALSE,"DIESP"}</definedName>
    <definedName name="wrn.DIESP._1" hidden="1">{#N/A,#N/A,FALSE,"DIESP"}</definedName>
    <definedName name="wrn.DIVIG." hidden="1">{#N/A,#N/A,FALSE,"DIVIG"}</definedName>
    <definedName name="wrn.DIVIG._1" hidden="1">{#N/A,#N/A,FALSE,"DIVIG"}</definedName>
    <definedName name="wrn.IAA." hidden="1">{#N/A,#N/A,FALSE,"IAA - Controlados pelo BB"}</definedName>
    <definedName name="wrn.IAA._1" hidden="1">{#N/A,#N/A,FALSE,"IAA - Controlados pelo BB"}</definedName>
    <definedName name="wrn.TOTAL." hidden="1">{#N/A,#N/A,FALSE,"TOTALIZAÇÃO POR EMPRESA"}</definedName>
    <definedName name="wrn.TOTAL._1" hidden="1">{#N/A,#N/A,FALSE,"TOTALIZAÇÃO POR EMPRESA"}</definedName>
    <definedName name="xx">#REF!</definedName>
    <definedName name="xxx">OFFSET(OFFSET(#REF!,MATCH(#REF!,RE_DT_POR,0),0),0,0,ROWS(RE_DT_POR)-MATCH(#REF!,RE_DT_POR,0)+1)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1" l="1"/>
  <c r="L7" i="1"/>
  <c r="N7" i="1"/>
  <c r="R7" i="1"/>
  <c r="V7" i="1"/>
  <c r="Z7" i="1"/>
  <c r="AL7" i="1"/>
  <c r="AR7" i="1"/>
  <c r="BU7" i="1"/>
  <c r="BW7" i="1"/>
  <c r="CH7" i="1"/>
  <c r="CM7" i="1"/>
  <c r="CO7" i="1"/>
  <c r="CU7" i="1"/>
  <c r="DA7" i="1"/>
  <c r="DY7" i="1"/>
  <c r="EA7" i="1"/>
  <c r="EI7" i="1"/>
  <c r="EY7" i="1"/>
  <c r="FA7" i="1"/>
  <c r="FG7" i="1"/>
  <c r="FI7" i="1"/>
  <c r="FM7" i="1"/>
  <c r="FO7" i="1"/>
  <c r="FY7" i="1"/>
  <c r="GG7" i="1"/>
  <c r="GM7" i="1"/>
  <c r="GO7" i="1"/>
  <c r="HF7" i="1"/>
  <c r="HM7" i="1"/>
  <c r="HU7" i="1"/>
  <c r="HY7" i="1"/>
  <c r="IK7" i="1"/>
  <c r="IL7" i="1"/>
  <c r="IS7" i="1"/>
  <c r="IT7" i="1"/>
  <c r="M9" i="1"/>
  <c r="N9" i="1"/>
  <c r="O9" i="1"/>
  <c r="P9" i="1"/>
  <c r="Q9" i="1"/>
  <c r="R9" i="1"/>
  <c r="S9" i="1"/>
  <c r="S7" i="1" s="1"/>
  <c r="T9" i="1"/>
  <c r="T7" i="1" s="1"/>
  <c r="U9" i="1"/>
  <c r="V9" i="1"/>
  <c r="W9" i="1"/>
  <c r="X9" i="1"/>
  <c r="X7" i="1" s="1"/>
  <c r="Y9" i="1"/>
  <c r="Z9" i="1"/>
  <c r="AA9" i="1"/>
  <c r="AA7" i="1" s="1"/>
  <c r="AB9" i="1"/>
  <c r="AB7" i="1" s="1"/>
  <c r="AD9" i="1"/>
  <c r="AD7" i="1" s="1"/>
  <c r="AE9" i="1"/>
  <c r="AF9" i="1"/>
  <c r="AF7" i="1" s="1"/>
  <c r="AG9" i="1"/>
  <c r="AH9" i="1"/>
  <c r="AH7" i="1" s="1"/>
  <c r="AI9" i="1"/>
  <c r="AJ9" i="1"/>
  <c r="AJ7" i="1" s="1"/>
  <c r="AK9" i="1"/>
  <c r="AL9" i="1"/>
  <c r="AM9" i="1"/>
  <c r="AN9" i="1"/>
  <c r="AN7" i="1" s="1"/>
  <c r="AO9" i="1"/>
  <c r="AQ9" i="1"/>
  <c r="AR9" i="1"/>
  <c r="AS9" i="1"/>
  <c r="AT9" i="1"/>
  <c r="AU9" i="1"/>
  <c r="AV9" i="1"/>
  <c r="AV7" i="1" s="1"/>
  <c r="AW9" i="1"/>
  <c r="AW7" i="1" s="1"/>
  <c r="AX9" i="1"/>
  <c r="AX7" i="1" s="1"/>
  <c r="AY9" i="1"/>
  <c r="AZ9" i="1"/>
  <c r="AZ7" i="1" s="1"/>
  <c r="BA9" i="1"/>
  <c r="BD9" i="1"/>
  <c r="BE9" i="1"/>
  <c r="BE7" i="1" s="1"/>
  <c r="BF9" i="1"/>
  <c r="BF7" i="1" s="1"/>
  <c r="BG9" i="1"/>
  <c r="BG7" i="1" s="1"/>
  <c r="BH9" i="1"/>
  <c r="BI9" i="1"/>
  <c r="BI7" i="1" s="1"/>
  <c r="BJ9" i="1"/>
  <c r="BK9" i="1"/>
  <c r="BL9" i="1"/>
  <c r="BM9" i="1"/>
  <c r="BM7" i="1" s="1"/>
  <c r="BN9" i="1"/>
  <c r="BN7" i="1" s="1"/>
  <c r="BO9" i="1"/>
  <c r="BO7" i="1" s="1"/>
  <c r="BQ9" i="1"/>
  <c r="BQ7" i="1" s="1"/>
  <c r="BR9" i="1"/>
  <c r="BS9" i="1"/>
  <c r="BT9" i="1"/>
  <c r="BU9" i="1"/>
  <c r="BV9" i="1"/>
  <c r="BW9" i="1"/>
  <c r="BX9" i="1"/>
  <c r="BX7" i="1" s="1"/>
  <c r="BY9" i="1"/>
  <c r="BY7" i="1" s="1"/>
  <c r="BZ9" i="1"/>
  <c r="CA9" i="1"/>
  <c r="CB9" i="1"/>
  <c r="CD9" i="1"/>
  <c r="CE9" i="1"/>
  <c r="CE7" i="1" s="1"/>
  <c r="CF9" i="1"/>
  <c r="CF7" i="1" s="1"/>
  <c r="CG9" i="1"/>
  <c r="CG7" i="1" s="1"/>
  <c r="CH9" i="1"/>
  <c r="CI9" i="1"/>
  <c r="CI7" i="1" s="1"/>
  <c r="CJ9" i="1"/>
  <c r="CK9" i="1"/>
  <c r="CK7" i="1" s="1"/>
  <c r="CL9" i="1"/>
  <c r="CM9" i="1"/>
  <c r="CN9" i="1"/>
  <c r="CN7" i="1" s="1"/>
  <c r="CO9" i="1"/>
  <c r="CQ9" i="1"/>
  <c r="CR9" i="1"/>
  <c r="CR7" i="1" s="1"/>
  <c r="CS9" i="1"/>
  <c r="CS7" i="1" s="1"/>
  <c r="CT9" i="1"/>
  <c r="CU9" i="1"/>
  <c r="CV9" i="1"/>
  <c r="CW9" i="1"/>
  <c r="CW38" i="1" s="1"/>
  <c r="CW37" i="1" s="1"/>
  <c r="CX9" i="1"/>
  <c r="CY9" i="1"/>
  <c r="CY7" i="1" s="1"/>
  <c r="CZ9" i="1"/>
  <c r="CZ7" i="1" s="1"/>
  <c r="DA9" i="1"/>
  <c r="DB9" i="1"/>
  <c r="DD9" i="1"/>
  <c r="DD7" i="1" s="1"/>
  <c r="DE9" i="1"/>
  <c r="DE7" i="1" s="1"/>
  <c r="DF9" i="1"/>
  <c r="DG9" i="1"/>
  <c r="DG7" i="1" s="1"/>
  <c r="DH9" i="1"/>
  <c r="DI9" i="1"/>
  <c r="DJ9" i="1"/>
  <c r="DK9" i="1"/>
  <c r="DK7" i="1" s="1"/>
  <c r="DL9" i="1"/>
  <c r="DL7" i="1" s="1"/>
  <c r="DM9" i="1"/>
  <c r="DM7" i="1" s="1"/>
  <c r="DN9" i="1"/>
  <c r="DO9" i="1"/>
  <c r="DO7" i="1" s="1"/>
  <c r="DQ9" i="1"/>
  <c r="DQ7" i="1" s="1"/>
  <c r="DR9" i="1"/>
  <c r="DS9" i="1"/>
  <c r="DS7" i="1" s="1"/>
  <c r="DT9" i="1"/>
  <c r="DT7" i="1" s="1"/>
  <c r="DU9" i="1"/>
  <c r="DU7" i="1" s="1"/>
  <c r="DV9" i="1"/>
  <c r="DW9" i="1"/>
  <c r="DW7" i="1" s="1"/>
  <c r="DX9" i="1"/>
  <c r="DY9" i="1"/>
  <c r="DZ9" i="1"/>
  <c r="EA9" i="1"/>
  <c r="EB9" i="1"/>
  <c r="EB7" i="1" s="1"/>
  <c r="ED9" i="1"/>
  <c r="EE9" i="1"/>
  <c r="EF9" i="1"/>
  <c r="EF7" i="1" s="1"/>
  <c r="EG9" i="1"/>
  <c r="EH9" i="1"/>
  <c r="EI9" i="1"/>
  <c r="EJ9" i="1"/>
  <c r="EJ7" i="1" s="1"/>
  <c r="EK9" i="1"/>
  <c r="EK7" i="1" s="1"/>
  <c r="EL9" i="1"/>
  <c r="EM9" i="1"/>
  <c r="EM7" i="1" s="1"/>
  <c r="EN9" i="1"/>
  <c r="EN7" i="1" s="1"/>
  <c r="EO9" i="1"/>
  <c r="EO7" i="1" s="1"/>
  <c r="EQ9" i="1"/>
  <c r="EQ7" i="1" s="1"/>
  <c r="ER9" i="1"/>
  <c r="ES9" i="1"/>
  <c r="ES7" i="1" s="1"/>
  <c r="ET9" i="1"/>
  <c r="EU9" i="1"/>
  <c r="EV9" i="1"/>
  <c r="EV7" i="1" s="1"/>
  <c r="EW9" i="1"/>
  <c r="EX9" i="1"/>
  <c r="EY9" i="1"/>
  <c r="EZ9" i="1"/>
  <c r="FA9" i="1"/>
  <c r="FB9" i="1"/>
  <c r="FD9" i="1"/>
  <c r="FD38" i="1" s="1"/>
  <c r="FE9" i="1"/>
  <c r="FE7" i="1" s="1"/>
  <c r="FF9" i="1"/>
  <c r="FG9" i="1"/>
  <c r="FH9" i="1"/>
  <c r="FI9" i="1"/>
  <c r="FJ9" i="1"/>
  <c r="FK9" i="1"/>
  <c r="FL9" i="1"/>
  <c r="FL7" i="1" s="1"/>
  <c r="FM9" i="1"/>
  <c r="FN9" i="1"/>
  <c r="FO9" i="1"/>
  <c r="FQ9" i="1"/>
  <c r="FQ7" i="1" s="1"/>
  <c r="FR9" i="1"/>
  <c r="FS9" i="1"/>
  <c r="FT9" i="1"/>
  <c r="FU9" i="1"/>
  <c r="FU7" i="1" s="1"/>
  <c r="FV9" i="1"/>
  <c r="FV7" i="1" s="1"/>
  <c r="FW9" i="1"/>
  <c r="FW7" i="1" s="1"/>
  <c r="FX9" i="1"/>
  <c r="FY9" i="1"/>
  <c r="FZ9" i="1"/>
  <c r="GA9" i="1"/>
  <c r="GB9" i="1"/>
  <c r="GC9" i="1"/>
  <c r="GD9" i="1"/>
  <c r="GD7" i="1" s="1"/>
  <c r="GE9" i="1"/>
  <c r="GE7" i="1" s="1"/>
  <c r="GF9" i="1"/>
  <c r="GG9" i="1"/>
  <c r="GH9" i="1"/>
  <c r="GI9" i="1"/>
  <c r="GJ9" i="1"/>
  <c r="GK9" i="1"/>
  <c r="GK7" i="1" s="1"/>
  <c r="GL9" i="1"/>
  <c r="GL7" i="1" s="1"/>
  <c r="GM9" i="1"/>
  <c r="GN9" i="1"/>
  <c r="GO9" i="1"/>
  <c r="GQ9" i="1"/>
  <c r="GR9" i="1"/>
  <c r="GR7" i="1" s="1"/>
  <c r="GS9" i="1"/>
  <c r="GT9" i="1"/>
  <c r="GT7" i="1" s="1"/>
  <c r="GU9" i="1"/>
  <c r="GU7" i="1" s="1"/>
  <c r="GV9" i="1"/>
  <c r="GV7" i="1" s="1"/>
  <c r="GW9" i="1"/>
  <c r="GW7" i="1" s="1"/>
  <c r="GX9" i="1"/>
  <c r="GY9" i="1"/>
  <c r="GZ9" i="1"/>
  <c r="GZ7" i="1" s="1"/>
  <c r="HA9" i="1"/>
  <c r="HB9" i="1"/>
  <c r="HB7" i="1" s="1"/>
  <c r="HC9" i="1"/>
  <c r="HD9" i="1"/>
  <c r="HE9" i="1"/>
  <c r="HE7" i="1" s="1"/>
  <c r="HF9" i="1"/>
  <c r="HG9" i="1"/>
  <c r="HH9" i="1"/>
  <c r="HI9" i="1"/>
  <c r="HI7" i="1" s="1"/>
  <c r="HJ9" i="1"/>
  <c r="HJ7" i="1" s="1"/>
  <c r="HK9" i="1"/>
  <c r="HP9" i="1" s="1"/>
  <c r="HL9" i="1"/>
  <c r="HM9" i="1"/>
  <c r="HN9" i="1"/>
  <c r="HO9" i="1"/>
  <c r="HQ9" i="1"/>
  <c r="HR9" i="1"/>
  <c r="HR7" i="1" s="1"/>
  <c r="HS9" i="1"/>
  <c r="HS7" i="1" s="1"/>
  <c r="HT9" i="1"/>
  <c r="HU9" i="1"/>
  <c r="HV9" i="1"/>
  <c r="HW9" i="1"/>
  <c r="HX9" i="1"/>
  <c r="HY9" i="1"/>
  <c r="HZ9" i="1"/>
  <c r="HZ7" i="1" s="1"/>
  <c r="IA9" i="1"/>
  <c r="IA7" i="1" s="1"/>
  <c r="IB9" i="1"/>
  <c r="ID9" i="1"/>
  <c r="IE9" i="1"/>
  <c r="IF9" i="1"/>
  <c r="IG9" i="1"/>
  <c r="IH9" i="1"/>
  <c r="IH7" i="1" s="1"/>
  <c r="II9" i="1"/>
  <c r="II7" i="1" s="1"/>
  <c r="IJ9" i="1"/>
  <c r="IK9" i="1"/>
  <c r="IL9" i="1"/>
  <c r="IM9" i="1"/>
  <c r="IM7" i="1" s="1"/>
  <c r="IN9" i="1"/>
  <c r="IO9" i="1"/>
  <c r="IQ9" i="1"/>
  <c r="IQ7" i="1" s="1"/>
  <c r="IR9" i="1"/>
  <c r="IR7" i="1" s="1"/>
  <c r="IS9" i="1"/>
  <c r="IT9" i="1"/>
  <c r="IU9" i="1"/>
  <c r="IU7" i="1" s="1"/>
  <c r="IV9" i="1"/>
  <c r="IW9" i="1"/>
  <c r="IX9" i="1"/>
  <c r="IY9" i="1"/>
  <c r="P10" i="1"/>
  <c r="AC10" i="1"/>
  <c r="AP10" i="1"/>
  <c r="BC10" i="1"/>
  <c r="BP10" i="1"/>
  <c r="CC10" i="1"/>
  <c r="CP10" i="1"/>
  <c r="DC10" i="1"/>
  <c r="DP10" i="1"/>
  <c r="EC10" i="1"/>
  <c r="EP10" i="1"/>
  <c r="FC10" i="1"/>
  <c r="FP10" i="1"/>
  <c r="GC10" i="1"/>
  <c r="GP10" i="1"/>
  <c r="HC10" i="1"/>
  <c r="HP10" i="1"/>
  <c r="IC10" i="1"/>
  <c r="IP10" i="1"/>
  <c r="IY10" i="1"/>
  <c r="P11" i="1"/>
  <c r="AC11" i="1"/>
  <c r="AP11" i="1"/>
  <c r="BC11" i="1"/>
  <c r="BP11" i="1"/>
  <c r="CC11" i="1"/>
  <c r="CP11" i="1"/>
  <c r="DC11" i="1"/>
  <c r="DP11" i="1"/>
  <c r="EC11" i="1"/>
  <c r="EP11" i="1"/>
  <c r="FC11" i="1"/>
  <c r="FP11" i="1"/>
  <c r="GC11" i="1"/>
  <c r="GP11" i="1"/>
  <c r="HC11" i="1"/>
  <c r="HP11" i="1"/>
  <c r="IC11" i="1"/>
  <c r="IP11" i="1"/>
  <c r="IY11" i="1"/>
  <c r="P12" i="1"/>
  <c r="AC12" i="1"/>
  <c r="AP12" i="1"/>
  <c r="BC12" i="1"/>
  <c r="BP12" i="1"/>
  <c r="CC12" i="1"/>
  <c r="CP12" i="1"/>
  <c r="DC12" i="1"/>
  <c r="DP12" i="1"/>
  <c r="EC12" i="1"/>
  <c r="EP12" i="1"/>
  <c r="FC12" i="1"/>
  <c r="FP12" i="1"/>
  <c r="GC12" i="1"/>
  <c r="GP12" i="1"/>
  <c r="HC12" i="1"/>
  <c r="HP12" i="1"/>
  <c r="IC12" i="1"/>
  <c r="IP12" i="1"/>
  <c r="IY12" i="1"/>
  <c r="P13" i="1"/>
  <c r="AC13" i="1"/>
  <c r="AP13" i="1"/>
  <c r="BC13" i="1"/>
  <c r="BP13" i="1"/>
  <c r="CC13" i="1"/>
  <c r="CP13" i="1"/>
  <c r="DC13" i="1"/>
  <c r="DP13" i="1"/>
  <c r="EC13" i="1"/>
  <c r="EP13" i="1"/>
  <c r="FC13" i="1"/>
  <c r="FP13" i="1"/>
  <c r="GC13" i="1"/>
  <c r="GP13" i="1"/>
  <c r="HC13" i="1"/>
  <c r="HP13" i="1"/>
  <c r="IC13" i="1"/>
  <c r="IP13" i="1"/>
  <c r="IY13" i="1"/>
  <c r="P14" i="1"/>
  <c r="AC14" i="1"/>
  <c r="AP14" i="1"/>
  <c r="BC14" i="1"/>
  <c r="BP14" i="1"/>
  <c r="CC14" i="1"/>
  <c r="CP14" i="1"/>
  <c r="DC14" i="1"/>
  <c r="DP14" i="1"/>
  <c r="EC14" i="1"/>
  <c r="EP14" i="1"/>
  <c r="FC14" i="1"/>
  <c r="FP14" i="1"/>
  <c r="GC14" i="1"/>
  <c r="GP14" i="1"/>
  <c r="HC14" i="1"/>
  <c r="HP14" i="1"/>
  <c r="IC14" i="1"/>
  <c r="IP14" i="1"/>
  <c r="IY14" i="1"/>
  <c r="P15" i="1"/>
  <c r="AC15" i="1"/>
  <c r="AP15" i="1"/>
  <c r="BC15" i="1"/>
  <c r="BP15" i="1"/>
  <c r="CC15" i="1"/>
  <c r="CP15" i="1"/>
  <c r="DC15" i="1"/>
  <c r="DP15" i="1"/>
  <c r="EC15" i="1"/>
  <c r="EP15" i="1"/>
  <c r="GP15" i="1" s="1"/>
  <c r="FC15" i="1"/>
  <c r="IP15" i="1" s="1"/>
  <c r="FP15" i="1"/>
  <c r="GC15" i="1"/>
  <c r="HC15" i="1"/>
  <c r="HP15" i="1"/>
  <c r="IC15" i="1"/>
  <c r="IY15" i="1"/>
  <c r="B17" i="1"/>
  <c r="C17" i="1"/>
  <c r="D17" i="1"/>
  <c r="E17" i="1"/>
  <c r="F17" i="1"/>
  <c r="F7" i="1" s="1"/>
  <c r="G17" i="1"/>
  <c r="G7" i="1" s="1"/>
  <c r="H17" i="1"/>
  <c r="H7" i="1" s="1"/>
  <c r="I17" i="1"/>
  <c r="I7" i="1" s="1"/>
  <c r="J17" i="1"/>
  <c r="K17" i="1"/>
  <c r="K7" i="1" s="1"/>
  <c r="L17" i="1"/>
  <c r="M17" i="1"/>
  <c r="M7" i="1" s="1"/>
  <c r="N17" i="1"/>
  <c r="O17" i="1"/>
  <c r="Q17" i="1"/>
  <c r="R17" i="1"/>
  <c r="S17" i="1"/>
  <c r="T17" i="1"/>
  <c r="U17" i="1"/>
  <c r="U7" i="1" s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K7" i="1" s="1"/>
  <c r="AL17" i="1"/>
  <c r="AM17" i="1"/>
  <c r="AN17" i="1"/>
  <c r="AO17" i="1"/>
  <c r="AQ17" i="1"/>
  <c r="AR17" i="1"/>
  <c r="AS17" i="1"/>
  <c r="AS7" i="1" s="1"/>
  <c r="AT17" i="1"/>
  <c r="AT7" i="1" s="1"/>
  <c r="AU17" i="1"/>
  <c r="AV17" i="1"/>
  <c r="AW17" i="1"/>
  <c r="AX17" i="1"/>
  <c r="AY17" i="1"/>
  <c r="AZ17" i="1"/>
  <c r="BA17" i="1"/>
  <c r="BA7" i="1" s="1"/>
  <c r="BC17" i="1"/>
  <c r="BD17" i="1"/>
  <c r="BE17" i="1"/>
  <c r="BF17" i="1"/>
  <c r="BG17" i="1"/>
  <c r="BH17" i="1"/>
  <c r="BI17" i="1"/>
  <c r="BJ17" i="1"/>
  <c r="BJ7" i="1" s="1"/>
  <c r="BK17" i="1"/>
  <c r="BK7" i="1" s="1"/>
  <c r="BL17" i="1"/>
  <c r="BM17" i="1"/>
  <c r="BN17" i="1"/>
  <c r="BO17" i="1"/>
  <c r="BQ17" i="1"/>
  <c r="BR17" i="1"/>
  <c r="BS17" i="1"/>
  <c r="BS39" i="1" s="1"/>
  <c r="BT17" i="1"/>
  <c r="BU17" i="1"/>
  <c r="BV17" i="1"/>
  <c r="BW17" i="1"/>
  <c r="BX17" i="1"/>
  <c r="BY17" i="1"/>
  <c r="BZ17" i="1"/>
  <c r="BZ7" i="1" s="1"/>
  <c r="CA17" i="1"/>
  <c r="CA39" i="1" s="1"/>
  <c r="CB17" i="1"/>
  <c r="CD17" i="1"/>
  <c r="CE17" i="1"/>
  <c r="CF17" i="1"/>
  <c r="CG17" i="1"/>
  <c r="CH17" i="1"/>
  <c r="CI17" i="1"/>
  <c r="CJ17" i="1"/>
  <c r="CJ39" i="1" s="1"/>
  <c r="CK17" i="1"/>
  <c r="CL17" i="1"/>
  <c r="CM17" i="1"/>
  <c r="CN17" i="1"/>
  <c r="CO17" i="1"/>
  <c r="CQ17" i="1"/>
  <c r="CR17" i="1"/>
  <c r="CS17" i="1"/>
  <c r="CT17" i="1"/>
  <c r="CU17" i="1"/>
  <c r="CV17" i="1"/>
  <c r="CW17" i="1"/>
  <c r="CX17" i="1"/>
  <c r="CX7" i="1" s="1"/>
  <c r="CY17" i="1"/>
  <c r="CZ17" i="1"/>
  <c r="DA17" i="1"/>
  <c r="DB17" i="1"/>
  <c r="DD17" i="1"/>
  <c r="DE17" i="1"/>
  <c r="DF17" i="1"/>
  <c r="DF7" i="1" s="1"/>
  <c r="DG17" i="1"/>
  <c r="DH17" i="1"/>
  <c r="DI17" i="1"/>
  <c r="DI7" i="1" s="1"/>
  <c r="DJ17" i="1"/>
  <c r="DK17" i="1"/>
  <c r="DL17" i="1"/>
  <c r="DM17" i="1"/>
  <c r="DN17" i="1"/>
  <c r="DN7" i="1" s="1"/>
  <c r="DO17" i="1"/>
  <c r="DQ17" i="1"/>
  <c r="DR17" i="1"/>
  <c r="DS17" i="1"/>
  <c r="DT17" i="1"/>
  <c r="DU17" i="1"/>
  <c r="DV17" i="1"/>
  <c r="DV7" i="1" s="1"/>
  <c r="DW17" i="1"/>
  <c r="DX17" i="1"/>
  <c r="DY17" i="1"/>
  <c r="DZ17" i="1"/>
  <c r="EA17" i="1"/>
  <c r="EB17" i="1"/>
  <c r="ED17" i="1"/>
  <c r="ED7" i="1" s="1"/>
  <c r="EE17" i="1"/>
  <c r="EF17" i="1"/>
  <c r="EG17" i="1"/>
  <c r="EG7" i="1" s="1"/>
  <c r="EH17" i="1"/>
  <c r="EI17" i="1"/>
  <c r="EJ17" i="1"/>
  <c r="EK17" i="1"/>
  <c r="EL17" i="1"/>
  <c r="EL39" i="1" s="1"/>
  <c r="EM17" i="1"/>
  <c r="EN17" i="1"/>
  <c r="EO17" i="1"/>
  <c r="EQ17" i="1"/>
  <c r="ER17" i="1"/>
  <c r="ES17" i="1"/>
  <c r="ET17" i="1"/>
  <c r="ET7" i="1" s="1"/>
  <c r="EU17" i="1"/>
  <c r="EU7" i="1" s="1"/>
  <c r="EV17" i="1"/>
  <c r="EW17" i="1"/>
  <c r="EX17" i="1"/>
  <c r="EY17" i="1"/>
  <c r="EZ17" i="1"/>
  <c r="FA17" i="1"/>
  <c r="FB17" i="1"/>
  <c r="FB7" i="1" s="1"/>
  <c r="FD17" i="1"/>
  <c r="FE17" i="1"/>
  <c r="FF17" i="1"/>
  <c r="FG17" i="1"/>
  <c r="FH17" i="1"/>
  <c r="FI17" i="1"/>
  <c r="FJ17" i="1"/>
  <c r="FJ7" i="1" s="1"/>
  <c r="FK17" i="1"/>
  <c r="FK7" i="1" s="1"/>
  <c r="FL17" i="1"/>
  <c r="FM17" i="1"/>
  <c r="FN17" i="1"/>
  <c r="FO17" i="1"/>
  <c r="FQ17" i="1"/>
  <c r="FR17" i="1"/>
  <c r="FR7" i="1" s="1"/>
  <c r="FS17" i="1"/>
  <c r="GC17" i="1" s="1"/>
  <c r="FT17" i="1"/>
  <c r="FU17" i="1"/>
  <c r="FV17" i="1"/>
  <c r="FW17" i="1"/>
  <c r="FX17" i="1"/>
  <c r="FY17" i="1"/>
  <c r="FZ17" i="1"/>
  <c r="FZ7" i="1" s="1"/>
  <c r="GA17" i="1"/>
  <c r="GA39" i="1" s="1"/>
  <c r="GB17" i="1"/>
  <c r="GD17" i="1"/>
  <c r="GP17" i="1" s="1"/>
  <c r="GE17" i="1"/>
  <c r="GF17" i="1"/>
  <c r="GG17" i="1"/>
  <c r="GH17" i="1"/>
  <c r="GH7" i="1" s="1"/>
  <c r="GI17" i="1"/>
  <c r="GJ17" i="1"/>
  <c r="GK17" i="1"/>
  <c r="GL17" i="1"/>
  <c r="GM17" i="1"/>
  <c r="GN17" i="1"/>
  <c r="GO17" i="1"/>
  <c r="GQ17" i="1"/>
  <c r="GR17" i="1"/>
  <c r="GS17" i="1"/>
  <c r="GS7" i="1" s="1"/>
  <c r="GT17" i="1"/>
  <c r="GU17" i="1"/>
  <c r="GV17" i="1"/>
  <c r="GW17" i="1"/>
  <c r="GX17" i="1"/>
  <c r="GX7" i="1" s="1"/>
  <c r="GY17" i="1"/>
  <c r="GY39" i="1" s="1"/>
  <c r="GZ17" i="1"/>
  <c r="HA17" i="1"/>
  <c r="HB17" i="1"/>
  <c r="HD17" i="1"/>
  <c r="HE17" i="1"/>
  <c r="HF17" i="1"/>
  <c r="HG17" i="1"/>
  <c r="HG7" i="1" s="1"/>
  <c r="HH17" i="1"/>
  <c r="HH39" i="1" s="1"/>
  <c r="HI17" i="1"/>
  <c r="HJ17" i="1"/>
  <c r="HK17" i="1"/>
  <c r="HL17" i="1"/>
  <c r="HM17" i="1"/>
  <c r="HN17" i="1"/>
  <c r="HN7" i="1" s="1"/>
  <c r="HO17" i="1"/>
  <c r="HP17" i="1"/>
  <c r="HQ17" i="1"/>
  <c r="HR17" i="1"/>
  <c r="HS17" i="1"/>
  <c r="HT17" i="1"/>
  <c r="HU17" i="1"/>
  <c r="HV17" i="1"/>
  <c r="HV7" i="1" s="1"/>
  <c r="HW17" i="1"/>
  <c r="HW7" i="1" s="1"/>
  <c r="HX17" i="1"/>
  <c r="HX39" i="1" s="1"/>
  <c r="HY17" i="1"/>
  <c r="HZ17" i="1"/>
  <c r="IA17" i="1"/>
  <c r="IB17" i="1"/>
  <c r="ID17" i="1"/>
  <c r="ID7" i="1" s="1"/>
  <c r="IE17" i="1"/>
  <c r="IF17" i="1"/>
  <c r="IG17" i="1"/>
  <c r="IG7" i="1" s="1"/>
  <c r="IH17" i="1"/>
  <c r="II17" i="1"/>
  <c r="IJ17" i="1"/>
  <c r="IK17" i="1"/>
  <c r="IL17" i="1"/>
  <c r="IM17" i="1"/>
  <c r="IN17" i="1"/>
  <c r="IO17" i="1"/>
  <c r="IQ17" i="1"/>
  <c r="IR17" i="1"/>
  <c r="IS17" i="1"/>
  <c r="IT17" i="1"/>
  <c r="IU17" i="1"/>
  <c r="IV17" i="1"/>
  <c r="IW17" i="1"/>
  <c r="IW7" i="1" s="1"/>
  <c r="IX17" i="1"/>
  <c r="P18" i="1"/>
  <c r="AC18" i="1"/>
  <c r="AP18" i="1"/>
  <c r="BC18" i="1"/>
  <c r="BP18" i="1"/>
  <c r="CC18" i="1"/>
  <c r="CP18" i="1"/>
  <c r="DC18" i="1"/>
  <c r="DP18" i="1"/>
  <c r="EC18" i="1"/>
  <c r="EP18" i="1"/>
  <c r="FC18" i="1"/>
  <c r="FP18" i="1"/>
  <c r="GC18" i="1"/>
  <c r="GP18" i="1"/>
  <c r="HC18" i="1"/>
  <c r="HP18" i="1"/>
  <c r="IC18" i="1"/>
  <c r="IP18" i="1"/>
  <c r="IY18" i="1"/>
  <c r="P19" i="1"/>
  <c r="AC19" i="1"/>
  <c r="AP19" i="1"/>
  <c r="BC19" i="1"/>
  <c r="BP19" i="1"/>
  <c r="CC19" i="1"/>
  <c r="CP19" i="1"/>
  <c r="DC19" i="1"/>
  <c r="DP19" i="1"/>
  <c r="EC19" i="1"/>
  <c r="EP19" i="1"/>
  <c r="FC19" i="1"/>
  <c r="FP19" i="1"/>
  <c r="GC19" i="1"/>
  <c r="GP19" i="1"/>
  <c r="HC19" i="1"/>
  <c r="HP19" i="1"/>
  <c r="IC19" i="1"/>
  <c r="IP19" i="1"/>
  <c r="IY19" i="1"/>
  <c r="E21" i="1"/>
  <c r="K21" i="1"/>
  <c r="M21" i="1"/>
  <c r="S21" i="1"/>
  <c r="U21" i="1"/>
  <c r="AA21" i="1"/>
  <c r="AG21" i="1"/>
  <c r="AI21" i="1"/>
  <c r="AK21" i="1"/>
  <c r="AQ21" i="1"/>
  <c r="AS21" i="1"/>
  <c r="AW21" i="1"/>
  <c r="AY21" i="1"/>
  <c r="BA21" i="1"/>
  <c r="BD21" i="1"/>
  <c r="BH21" i="1"/>
  <c r="BJ21" i="1"/>
  <c r="BN21" i="1"/>
  <c r="BO21" i="1"/>
  <c r="BR21" i="1"/>
  <c r="BT21" i="1"/>
  <c r="BX21" i="1"/>
  <c r="BZ21" i="1"/>
  <c r="CF21" i="1"/>
  <c r="CH21" i="1"/>
  <c r="CK21" i="1"/>
  <c r="CM21" i="1"/>
  <c r="CN21" i="1"/>
  <c r="CV21" i="1"/>
  <c r="CX21" i="1"/>
  <c r="DD21" i="1"/>
  <c r="DF21" i="1"/>
  <c r="DL21" i="1"/>
  <c r="DN21" i="1"/>
  <c r="DS21" i="1"/>
  <c r="DT21" i="1"/>
  <c r="DV21" i="1"/>
  <c r="EB21" i="1"/>
  <c r="ED21" i="1"/>
  <c r="EJ21" i="1"/>
  <c r="EL21" i="1"/>
  <c r="ER21" i="1"/>
  <c r="ET21" i="1"/>
  <c r="EV21" i="1"/>
  <c r="EY21" i="1"/>
  <c r="EZ21" i="1"/>
  <c r="FB21" i="1"/>
  <c r="FH21" i="1"/>
  <c r="FJ21" i="1"/>
  <c r="FR21" i="1"/>
  <c r="FX21" i="1"/>
  <c r="FZ21" i="1"/>
  <c r="GB21" i="1"/>
  <c r="GE21" i="1"/>
  <c r="GF21" i="1"/>
  <c r="GH21" i="1"/>
  <c r="GN21" i="1"/>
  <c r="GV21" i="1"/>
  <c r="GX21" i="1"/>
  <c r="HA21" i="1"/>
  <c r="HD21" i="1"/>
  <c r="HF21" i="1"/>
  <c r="HI21" i="1"/>
  <c r="HK21" i="1"/>
  <c r="HL21" i="1"/>
  <c r="HN21" i="1"/>
  <c r="HT21" i="1"/>
  <c r="HV21" i="1"/>
  <c r="IB21" i="1"/>
  <c r="ID21" i="1"/>
  <c r="IG21" i="1"/>
  <c r="IJ21" i="1"/>
  <c r="IL21" i="1"/>
  <c r="IN21" i="1"/>
  <c r="IO21" i="1"/>
  <c r="IQ21" i="1"/>
  <c r="IR21" i="1"/>
  <c r="IT21" i="1"/>
  <c r="B23" i="1"/>
  <c r="C23" i="1"/>
  <c r="D23" i="1"/>
  <c r="E23" i="1"/>
  <c r="F23" i="1"/>
  <c r="G23" i="1"/>
  <c r="H23" i="1"/>
  <c r="H21" i="1" s="1"/>
  <c r="I23" i="1"/>
  <c r="J23" i="1"/>
  <c r="J21" i="1" s="1"/>
  <c r="K23" i="1"/>
  <c r="L23" i="1"/>
  <c r="L21" i="1" s="1"/>
  <c r="M23" i="1"/>
  <c r="N23" i="1"/>
  <c r="O23" i="1"/>
  <c r="O21" i="1" s="1"/>
  <c r="P23" i="1"/>
  <c r="Q23" i="1"/>
  <c r="R23" i="1"/>
  <c r="S23" i="1"/>
  <c r="T23" i="1"/>
  <c r="T21" i="1" s="1"/>
  <c r="U23" i="1"/>
  <c r="V23" i="1"/>
  <c r="W23" i="1"/>
  <c r="X23" i="1"/>
  <c r="X21" i="1" s="1"/>
  <c r="Y23" i="1"/>
  <c r="Z23" i="1"/>
  <c r="AB23" i="1"/>
  <c r="AB21" i="1" s="1"/>
  <c r="AD23" i="1"/>
  <c r="AD21" i="1" s="1"/>
  <c r="AE23" i="1"/>
  <c r="AF23" i="1"/>
  <c r="AG23" i="1"/>
  <c r="AH23" i="1"/>
  <c r="AI23" i="1"/>
  <c r="AJ23" i="1"/>
  <c r="AK23" i="1"/>
  <c r="AL23" i="1"/>
  <c r="AL21" i="1" s="1"/>
  <c r="AM23" i="1"/>
  <c r="AN23" i="1"/>
  <c r="AO23" i="1"/>
  <c r="AO21" i="1" s="1"/>
  <c r="AP23" i="1"/>
  <c r="AQ23" i="1"/>
  <c r="AR23" i="1"/>
  <c r="AS23" i="1"/>
  <c r="AT23" i="1"/>
  <c r="AT21" i="1" s="1"/>
  <c r="AU23" i="1"/>
  <c r="AV23" i="1"/>
  <c r="AW23" i="1"/>
  <c r="AX23" i="1"/>
  <c r="BC23" i="1" s="1"/>
  <c r="AY23" i="1"/>
  <c r="AZ23" i="1"/>
  <c r="BA23" i="1"/>
  <c r="BD23" i="1"/>
  <c r="BE23" i="1"/>
  <c r="BF23" i="1"/>
  <c r="BF21" i="1" s="1"/>
  <c r="BG23" i="1"/>
  <c r="BG21" i="1" s="1"/>
  <c r="BH23" i="1"/>
  <c r="BI23" i="1"/>
  <c r="BJ23" i="1"/>
  <c r="BK23" i="1"/>
  <c r="BK21" i="1" s="1"/>
  <c r="BL23" i="1"/>
  <c r="BL21" i="1" s="1"/>
  <c r="BM23" i="1"/>
  <c r="BN23" i="1"/>
  <c r="BO23" i="1"/>
  <c r="BQ23" i="1"/>
  <c r="BR23" i="1"/>
  <c r="BS23" i="1"/>
  <c r="BS21" i="1" s="1"/>
  <c r="BT23" i="1"/>
  <c r="BU23" i="1"/>
  <c r="BU21" i="1" s="1"/>
  <c r="BV23" i="1"/>
  <c r="BW23" i="1"/>
  <c r="BW21" i="1" s="1"/>
  <c r="BX23" i="1"/>
  <c r="BY23" i="1"/>
  <c r="BZ23" i="1"/>
  <c r="CA23" i="1"/>
  <c r="CA21" i="1" s="1"/>
  <c r="CB23" i="1"/>
  <c r="CB21" i="1" s="1"/>
  <c r="CD23" i="1"/>
  <c r="CE23" i="1"/>
  <c r="CF23" i="1"/>
  <c r="CG23" i="1"/>
  <c r="CH23" i="1"/>
  <c r="CI23" i="1"/>
  <c r="CI21" i="1" s="1"/>
  <c r="CJ23" i="1"/>
  <c r="CJ21" i="1" s="1"/>
  <c r="CK23" i="1"/>
  <c r="CL23" i="1"/>
  <c r="CM23" i="1"/>
  <c r="CN23" i="1"/>
  <c r="CO23" i="1"/>
  <c r="CQ23" i="1"/>
  <c r="CR23" i="1"/>
  <c r="CS23" i="1"/>
  <c r="CS21" i="1" s="1"/>
  <c r="CT23" i="1"/>
  <c r="CU23" i="1"/>
  <c r="CV23" i="1"/>
  <c r="CW23" i="1"/>
  <c r="CW21" i="1" s="1"/>
  <c r="CX23" i="1"/>
  <c r="CY23" i="1"/>
  <c r="CZ23" i="1"/>
  <c r="CZ21" i="1" s="1"/>
  <c r="DA23" i="1"/>
  <c r="DA21" i="1" s="1"/>
  <c r="DB23" i="1"/>
  <c r="DD23" i="1"/>
  <c r="DE23" i="1"/>
  <c r="DP23" i="1" s="1"/>
  <c r="DF23" i="1"/>
  <c r="DG23" i="1"/>
  <c r="DH23" i="1"/>
  <c r="DH21" i="1" s="1"/>
  <c r="DI23" i="1"/>
  <c r="DI21" i="1" s="1"/>
  <c r="DJ23" i="1"/>
  <c r="DK23" i="1"/>
  <c r="DL23" i="1"/>
  <c r="DM23" i="1"/>
  <c r="DN23" i="1"/>
  <c r="DO23" i="1"/>
  <c r="DQ23" i="1"/>
  <c r="EC23" i="1" s="1"/>
  <c r="DR23" i="1"/>
  <c r="DR21" i="1" s="1"/>
  <c r="DS23" i="1"/>
  <c r="DT23" i="1"/>
  <c r="DU23" i="1"/>
  <c r="DV23" i="1"/>
  <c r="DW23" i="1"/>
  <c r="DX23" i="1"/>
  <c r="DX21" i="1" s="1"/>
  <c r="DY23" i="1"/>
  <c r="DY21" i="1" s="1"/>
  <c r="DZ23" i="1"/>
  <c r="EA23" i="1"/>
  <c r="EB23" i="1"/>
  <c r="ED23" i="1"/>
  <c r="EE23" i="1"/>
  <c r="EF23" i="1"/>
  <c r="EF21" i="1" s="1"/>
  <c r="EG23" i="1"/>
  <c r="EG21" i="1" s="1"/>
  <c r="EH23" i="1"/>
  <c r="EH21" i="1" s="1"/>
  <c r="EI23" i="1"/>
  <c r="EJ23" i="1"/>
  <c r="EK23" i="1"/>
  <c r="EL23" i="1"/>
  <c r="EM23" i="1"/>
  <c r="EN23" i="1"/>
  <c r="EN21" i="1" s="1"/>
  <c r="EO23" i="1"/>
  <c r="EO21" i="1" s="1"/>
  <c r="EQ23" i="1"/>
  <c r="ER23" i="1"/>
  <c r="ES23" i="1"/>
  <c r="ET23" i="1"/>
  <c r="EU23" i="1"/>
  <c r="EV23" i="1"/>
  <c r="EW23" i="1"/>
  <c r="EW21" i="1" s="1"/>
  <c r="EX23" i="1"/>
  <c r="EX21" i="1" s="1"/>
  <c r="EY23" i="1"/>
  <c r="EZ23" i="1"/>
  <c r="FA23" i="1"/>
  <c r="FA21" i="1" s="1"/>
  <c r="FB23" i="1"/>
  <c r="FD23" i="1"/>
  <c r="FE23" i="1"/>
  <c r="FE21" i="1" s="1"/>
  <c r="FF23" i="1"/>
  <c r="FG23" i="1"/>
  <c r="FH23" i="1"/>
  <c r="FI23" i="1"/>
  <c r="FJ23" i="1"/>
  <c r="FK23" i="1"/>
  <c r="FL23" i="1"/>
  <c r="FL21" i="1" s="1"/>
  <c r="FM23" i="1"/>
  <c r="FM21" i="1" s="1"/>
  <c r="FN23" i="1"/>
  <c r="FO23" i="1"/>
  <c r="FO21" i="1" s="1"/>
  <c r="FQ23" i="1"/>
  <c r="FR23" i="1"/>
  <c r="FS23" i="1"/>
  <c r="FS21" i="1" s="1"/>
  <c r="FT23" i="1"/>
  <c r="FT21" i="1" s="1"/>
  <c r="FU23" i="1"/>
  <c r="FU21" i="1" s="1"/>
  <c r="FV23" i="1"/>
  <c r="FV21" i="1" s="1"/>
  <c r="FW23" i="1"/>
  <c r="FX23" i="1"/>
  <c r="FY23" i="1"/>
  <c r="FZ23" i="1"/>
  <c r="GA23" i="1"/>
  <c r="GA21" i="1" s="1"/>
  <c r="GB23" i="1"/>
  <c r="GD23" i="1"/>
  <c r="GE23" i="1"/>
  <c r="GF23" i="1"/>
  <c r="GG23" i="1"/>
  <c r="GH23" i="1"/>
  <c r="GI23" i="1"/>
  <c r="GJ23" i="1"/>
  <c r="GJ21" i="1" s="1"/>
  <c r="GK23" i="1"/>
  <c r="GK21" i="1" s="1"/>
  <c r="GL23" i="1"/>
  <c r="GL21" i="1" s="1"/>
  <c r="GM23" i="1"/>
  <c r="GN23" i="1"/>
  <c r="GO23" i="1"/>
  <c r="GQ23" i="1"/>
  <c r="GR23" i="1"/>
  <c r="GS23" i="1"/>
  <c r="GT23" i="1"/>
  <c r="GT21" i="1" s="1"/>
  <c r="GU23" i="1"/>
  <c r="GU21" i="1" s="1"/>
  <c r="GV23" i="1"/>
  <c r="GW23" i="1"/>
  <c r="GX23" i="1"/>
  <c r="GY23" i="1"/>
  <c r="GZ23" i="1"/>
  <c r="HA23" i="1"/>
  <c r="HB23" i="1"/>
  <c r="HB38" i="1" s="1"/>
  <c r="HB37" i="1" s="1"/>
  <c r="HD23" i="1"/>
  <c r="HE23" i="1"/>
  <c r="HF23" i="1"/>
  <c r="HG23" i="1"/>
  <c r="HH23" i="1"/>
  <c r="HI23" i="1"/>
  <c r="HJ23" i="1"/>
  <c r="HJ21" i="1" s="1"/>
  <c r="HK23" i="1"/>
  <c r="HL23" i="1"/>
  <c r="HM23" i="1"/>
  <c r="HN23" i="1"/>
  <c r="HO23" i="1"/>
  <c r="HP23" i="1"/>
  <c r="HQ23" i="1"/>
  <c r="HQ21" i="1" s="1"/>
  <c r="HR23" i="1"/>
  <c r="HR21" i="1" s="1"/>
  <c r="HS23" i="1"/>
  <c r="HS21" i="1" s="1"/>
  <c r="HT23" i="1"/>
  <c r="HU23" i="1"/>
  <c r="HV23" i="1"/>
  <c r="HW23" i="1"/>
  <c r="HX23" i="1"/>
  <c r="HY23" i="1"/>
  <c r="HZ23" i="1"/>
  <c r="HZ21" i="1" s="1"/>
  <c r="IA23" i="1"/>
  <c r="IA21" i="1" s="1"/>
  <c r="IB23" i="1"/>
  <c r="ID23" i="1"/>
  <c r="IE23" i="1"/>
  <c r="IE21" i="1" s="1"/>
  <c r="IF23" i="1"/>
  <c r="IG23" i="1"/>
  <c r="IH23" i="1"/>
  <c r="IH21" i="1" s="1"/>
  <c r="II23" i="1"/>
  <c r="II21" i="1" s="1"/>
  <c r="IJ23" i="1"/>
  <c r="IK23" i="1"/>
  <c r="IL23" i="1"/>
  <c r="IM23" i="1"/>
  <c r="IM21" i="1" s="1"/>
  <c r="IN23" i="1"/>
  <c r="IO23" i="1"/>
  <c r="IQ23" i="1"/>
  <c r="IR23" i="1"/>
  <c r="IS23" i="1"/>
  <c r="IT23" i="1"/>
  <c r="IU23" i="1"/>
  <c r="IV23" i="1"/>
  <c r="IW23" i="1"/>
  <c r="IW21" i="1" s="1"/>
  <c r="IX23" i="1"/>
  <c r="IX21" i="1" s="1"/>
  <c r="IY23" i="1"/>
  <c r="P24" i="1"/>
  <c r="AC24" i="1"/>
  <c r="AP24" i="1"/>
  <c r="BC24" i="1"/>
  <c r="BP24" i="1"/>
  <c r="CC24" i="1"/>
  <c r="CP24" i="1"/>
  <c r="DC24" i="1"/>
  <c r="DP24" i="1"/>
  <c r="EC24" i="1"/>
  <c r="EP24" i="1"/>
  <c r="FC24" i="1"/>
  <c r="FP24" i="1"/>
  <c r="GC24" i="1"/>
  <c r="GP24" i="1"/>
  <c r="HC24" i="1"/>
  <c r="HP24" i="1"/>
  <c r="IC24" i="1"/>
  <c r="IP24" i="1"/>
  <c r="IY24" i="1"/>
  <c r="P25" i="1"/>
  <c r="AC25" i="1"/>
  <c r="AP25" i="1"/>
  <c r="BC25" i="1"/>
  <c r="BP25" i="1"/>
  <c r="CC25" i="1"/>
  <c r="CP25" i="1"/>
  <c r="DC25" i="1"/>
  <c r="DP25" i="1"/>
  <c r="EC25" i="1"/>
  <c r="EP25" i="1"/>
  <c r="FC25" i="1"/>
  <c r="FP25" i="1"/>
  <c r="GC25" i="1"/>
  <c r="GP25" i="1"/>
  <c r="HC25" i="1"/>
  <c r="HP25" i="1"/>
  <c r="IC25" i="1"/>
  <c r="IP25" i="1"/>
  <c r="IY25" i="1"/>
  <c r="P26" i="1"/>
  <c r="AC26" i="1"/>
  <c r="AP26" i="1"/>
  <c r="BC26" i="1"/>
  <c r="BP26" i="1"/>
  <c r="CC26" i="1"/>
  <c r="CP26" i="1"/>
  <c r="DC26" i="1"/>
  <c r="DP26" i="1"/>
  <c r="EC26" i="1"/>
  <c r="EP26" i="1"/>
  <c r="FC26" i="1"/>
  <c r="FP26" i="1"/>
  <c r="GC26" i="1"/>
  <c r="GP26" i="1"/>
  <c r="HC26" i="1"/>
  <c r="HP26" i="1"/>
  <c r="IC26" i="1"/>
  <c r="IP26" i="1"/>
  <c r="IY26" i="1"/>
  <c r="P27" i="1"/>
  <c r="AC27" i="1"/>
  <c r="AP27" i="1"/>
  <c r="BC27" i="1"/>
  <c r="BP27" i="1"/>
  <c r="CC27" i="1"/>
  <c r="CP27" i="1"/>
  <c r="DC27" i="1"/>
  <c r="DP27" i="1"/>
  <c r="EC27" i="1"/>
  <c r="EP27" i="1"/>
  <c r="FC27" i="1"/>
  <c r="FP27" i="1"/>
  <c r="GC27" i="1"/>
  <c r="GP27" i="1"/>
  <c r="HC27" i="1"/>
  <c r="HP27" i="1"/>
  <c r="IC27" i="1"/>
  <c r="IP27" i="1"/>
  <c r="IY27" i="1"/>
  <c r="CP28" i="1"/>
  <c r="DC28" i="1"/>
  <c r="DP28" i="1"/>
  <c r="EC28" i="1"/>
  <c r="EP28" i="1"/>
  <c r="FC28" i="1"/>
  <c r="FP28" i="1"/>
  <c r="GC28" i="1"/>
  <c r="GP28" i="1"/>
  <c r="HC28" i="1"/>
  <c r="HP28" i="1"/>
  <c r="IC28" i="1"/>
  <c r="IP28" i="1"/>
  <c r="IY28" i="1"/>
  <c r="P29" i="1"/>
  <c r="AC29" i="1"/>
  <c r="AP29" i="1"/>
  <c r="BC29" i="1"/>
  <c r="BP29" i="1"/>
  <c r="CC29" i="1"/>
  <c r="CP29" i="1"/>
  <c r="DC29" i="1"/>
  <c r="DP29" i="1"/>
  <c r="EC29" i="1"/>
  <c r="EP29" i="1"/>
  <c r="FC29" i="1"/>
  <c r="FP29" i="1"/>
  <c r="GC29" i="1"/>
  <c r="GP29" i="1"/>
  <c r="HC29" i="1"/>
  <c r="HP29" i="1"/>
  <c r="IC29" i="1"/>
  <c r="IP29" i="1"/>
  <c r="IY29" i="1"/>
  <c r="AA30" i="1"/>
  <c r="AA23" i="1" s="1"/>
  <c r="F33" i="1"/>
  <c r="G33" i="1"/>
  <c r="G21" i="1" s="1"/>
  <c r="H33" i="1"/>
  <c r="I33" i="1"/>
  <c r="J33" i="1"/>
  <c r="K33" i="1"/>
  <c r="L33" i="1"/>
  <c r="M33" i="1"/>
  <c r="N33" i="1"/>
  <c r="O33" i="1"/>
  <c r="Q33" i="1"/>
  <c r="R33" i="1"/>
  <c r="R21" i="1" s="1"/>
  <c r="S33" i="1"/>
  <c r="T33" i="1"/>
  <c r="U33" i="1"/>
  <c r="V33" i="1"/>
  <c r="V39" i="1" s="1"/>
  <c r="W33" i="1"/>
  <c r="W21" i="1" s="1"/>
  <c r="X33" i="1"/>
  <c r="Y33" i="1"/>
  <c r="Y39" i="1" s="1"/>
  <c r="Z33" i="1"/>
  <c r="Z21" i="1" s="1"/>
  <c r="AA33" i="1"/>
  <c r="AB33" i="1"/>
  <c r="AD33" i="1"/>
  <c r="AE33" i="1"/>
  <c r="AF33" i="1"/>
  <c r="AG33" i="1"/>
  <c r="AH33" i="1"/>
  <c r="AH21" i="1" s="1"/>
  <c r="AI33" i="1"/>
  <c r="AJ33" i="1"/>
  <c r="AK33" i="1"/>
  <c r="AL33" i="1"/>
  <c r="AM33" i="1"/>
  <c r="AM21" i="1" s="1"/>
  <c r="AN33" i="1"/>
  <c r="AN21" i="1" s="1"/>
  <c r="AO33" i="1"/>
  <c r="AQ33" i="1"/>
  <c r="AR33" i="1"/>
  <c r="AS33" i="1"/>
  <c r="AT33" i="1"/>
  <c r="AU33" i="1"/>
  <c r="AV33" i="1"/>
  <c r="AV21" i="1" s="1"/>
  <c r="AW33" i="1"/>
  <c r="AX33" i="1"/>
  <c r="AY33" i="1"/>
  <c r="AZ33" i="1"/>
  <c r="BA33" i="1"/>
  <c r="BD33" i="1"/>
  <c r="BE33" i="1"/>
  <c r="BE21" i="1" s="1"/>
  <c r="BF33" i="1"/>
  <c r="BG33" i="1"/>
  <c r="BH33" i="1"/>
  <c r="BI33" i="1"/>
  <c r="BJ33" i="1"/>
  <c r="BK33" i="1"/>
  <c r="BL33" i="1"/>
  <c r="BM33" i="1"/>
  <c r="BM39" i="1" s="1"/>
  <c r="BM37" i="1" s="1"/>
  <c r="BN33" i="1"/>
  <c r="BO33" i="1"/>
  <c r="BQ33" i="1"/>
  <c r="BR33" i="1"/>
  <c r="BS33" i="1"/>
  <c r="BT33" i="1"/>
  <c r="BU33" i="1"/>
  <c r="BV33" i="1"/>
  <c r="BV39" i="1" s="1"/>
  <c r="BW33" i="1"/>
  <c r="BX33" i="1"/>
  <c r="BY33" i="1"/>
  <c r="BY39" i="1" s="1"/>
  <c r="BZ33" i="1"/>
  <c r="CA33" i="1"/>
  <c r="CB33" i="1"/>
  <c r="CD33" i="1"/>
  <c r="CD21" i="1" s="1"/>
  <c r="CE33" i="1"/>
  <c r="CE21" i="1" s="1"/>
  <c r="CF33" i="1"/>
  <c r="CG33" i="1"/>
  <c r="CG39" i="1" s="1"/>
  <c r="CH33" i="1"/>
  <c r="CI33" i="1"/>
  <c r="CJ33" i="1"/>
  <c r="CK33" i="1"/>
  <c r="CL33" i="1"/>
  <c r="CL39" i="1" s="1"/>
  <c r="CM33" i="1"/>
  <c r="CN33" i="1"/>
  <c r="CO33" i="1"/>
  <c r="CO39" i="1" s="1"/>
  <c r="CQ33" i="1"/>
  <c r="CR33" i="1"/>
  <c r="CS33" i="1"/>
  <c r="CT33" i="1"/>
  <c r="CT21" i="1" s="1"/>
  <c r="CU33" i="1"/>
  <c r="CU21" i="1" s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J21" i="1" s="1"/>
  <c r="DK33" i="1"/>
  <c r="DL33" i="1"/>
  <c r="DM33" i="1"/>
  <c r="DN33" i="1"/>
  <c r="DO33" i="1"/>
  <c r="DQ33" i="1"/>
  <c r="DR33" i="1"/>
  <c r="DS33" i="1"/>
  <c r="DT33" i="1"/>
  <c r="DU33" i="1"/>
  <c r="DV33" i="1"/>
  <c r="DW33" i="1"/>
  <c r="DX33" i="1"/>
  <c r="DY33" i="1"/>
  <c r="DZ33" i="1"/>
  <c r="DZ21" i="1" s="1"/>
  <c r="EA33" i="1"/>
  <c r="EA21" i="1" s="1"/>
  <c r="EB33" i="1"/>
  <c r="EC33" i="1"/>
  <c r="ED33" i="1"/>
  <c r="EE33" i="1"/>
  <c r="EF33" i="1"/>
  <c r="EG33" i="1"/>
  <c r="EH33" i="1"/>
  <c r="EI33" i="1"/>
  <c r="EJ33" i="1"/>
  <c r="EK33" i="1"/>
  <c r="EP33" i="1" s="1"/>
  <c r="EL33" i="1"/>
  <c r="EM33" i="1"/>
  <c r="EN33" i="1"/>
  <c r="EO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D33" i="1"/>
  <c r="FE33" i="1"/>
  <c r="FF33" i="1"/>
  <c r="FF21" i="1" s="1"/>
  <c r="FG33" i="1"/>
  <c r="FG21" i="1" s="1"/>
  <c r="FH33" i="1"/>
  <c r="FI33" i="1"/>
  <c r="FI39" i="1" s="1"/>
  <c r="FJ33" i="1"/>
  <c r="FK33" i="1"/>
  <c r="FL33" i="1"/>
  <c r="FM33" i="1"/>
  <c r="FN33" i="1"/>
  <c r="FO33" i="1"/>
  <c r="FQ33" i="1"/>
  <c r="FR33" i="1"/>
  <c r="FS33" i="1"/>
  <c r="FT33" i="1"/>
  <c r="FU33" i="1"/>
  <c r="FV33" i="1"/>
  <c r="FW33" i="1"/>
  <c r="FW39" i="1" s="1"/>
  <c r="FX33" i="1"/>
  <c r="FY33" i="1"/>
  <c r="FZ33" i="1"/>
  <c r="GA33" i="1"/>
  <c r="GB33" i="1"/>
  <c r="GD33" i="1"/>
  <c r="GE33" i="1"/>
  <c r="GF33" i="1"/>
  <c r="GG33" i="1"/>
  <c r="GH33" i="1"/>
  <c r="GI33" i="1"/>
  <c r="GJ33" i="1"/>
  <c r="GK33" i="1"/>
  <c r="GL33" i="1"/>
  <c r="GM33" i="1"/>
  <c r="GM21" i="1" s="1"/>
  <c r="GN33" i="1"/>
  <c r="GO33" i="1"/>
  <c r="GQ33" i="1"/>
  <c r="GR33" i="1"/>
  <c r="GR39" i="1" s="1"/>
  <c r="GS33" i="1"/>
  <c r="GS21" i="1" s="1"/>
  <c r="GT33" i="1"/>
  <c r="GU33" i="1"/>
  <c r="GV33" i="1"/>
  <c r="GW33" i="1"/>
  <c r="GW39" i="1" s="1"/>
  <c r="GX33" i="1"/>
  <c r="GY33" i="1"/>
  <c r="GZ33" i="1"/>
  <c r="GZ39" i="1" s="1"/>
  <c r="HA33" i="1"/>
  <c r="HB33" i="1"/>
  <c r="HD33" i="1"/>
  <c r="HE33" i="1"/>
  <c r="HP33" i="1" s="1"/>
  <c r="HF33" i="1"/>
  <c r="HG33" i="1"/>
  <c r="HH33" i="1"/>
  <c r="HI33" i="1"/>
  <c r="HJ33" i="1"/>
  <c r="HK33" i="1"/>
  <c r="HL33" i="1"/>
  <c r="HM33" i="1"/>
  <c r="HN33" i="1"/>
  <c r="HO33" i="1"/>
  <c r="HQ33" i="1"/>
  <c r="HR33" i="1"/>
  <c r="HS33" i="1"/>
  <c r="HT33" i="1"/>
  <c r="HU33" i="1"/>
  <c r="HV33" i="1"/>
  <c r="HW33" i="1"/>
  <c r="HX33" i="1"/>
  <c r="HY33" i="1"/>
  <c r="HY21" i="1" s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Q33" i="1"/>
  <c r="IR33" i="1"/>
  <c r="IS33" i="1"/>
  <c r="IT33" i="1"/>
  <c r="IU33" i="1"/>
  <c r="IU39" i="1" s="1"/>
  <c r="IV33" i="1"/>
  <c r="IW33" i="1"/>
  <c r="IX33" i="1"/>
  <c r="P34" i="1"/>
  <c r="AC34" i="1"/>
  <c r="AP34" i="1"/>
  <c r="BC34" i="1"/>
  <c r="BP34" i="1"/>
  <c r="CC34" i="1"/>
  <c r="CP34" i="1"/>
  <c r="DC34" i="1"/>
  <c r="DP34" i="1"/>
  <c r="EC34" i="1"/>
  <c r="EP34" i="1"/>
  <c r="FC34" i="1"/>
  <c r="FP34" i="1"/>
  <c r="GC34" i="1"/>
  <c r="GP34" i="1"/>
  <c r="HC34" i="1"/>
  <c r="HP34" i="1"/>
  <c r="IC34" i="1"/>
  <c r="IP34" i="1"/>
  <c r="IY34" i="1"/>
  <c r="P35" i="1"/>
  <c r="AC35" i="1"/>
  <c r="AP35" i="1"/>
  <c r="BC35" i="1"/>
  <c r="BP35" i="1"/>
  <c r="CC35" i="1"/>
  <c r="CP35" i="1"/>
  <c r="DC35" i="1"/>
  <c r="DP35" i="1"/>
  <c r="EC35" i="1"/>
  <c r="EP35" i="1"/>
  <c r="FC35" i="1"/>
  <c r="FP35" i="1"/>
  <c r="GC35" i="1"/>
  <c r="GP35" i="1"/>
  <c r="HC35" i="1"/>
  <c r="HP35" i="1"/>
  <c r="IC35" i="1"/>
  <c r="IP35" i="1"/>
  <c r="IY35" i="1"/>
  <c r="F37" i="1"/>
  <c r="G37" i="1"/>
  <c r="H37" i="1"/>
  <c r="P37" i="1"/>
  <c r="AI37" i="1"/>
  <c r="BA37" i="1"/>
  <c r="BS37" i="1"/>
  <c r="CB37" i="1"/>
  <c r="CH37" i="1"/>
  <c r="CY37" i="1"/>
  <c r="DH37" i="1"/>
  <c r="DS37" i="1"/>
  <c r="DV37" i="1"/>
  <c r="EN37" i="1"/>
  <c r="EY37" i="1"/>
  <c r="FI37" i="1"/>
  <c r="FT37" i="1"/>
  <c r="FX37" i="1"/>
  <c r="GE37" i="1"/>
  <c r="GH37" i="1"/>
  <c r="GO37" i="1"/>
  <c r="HM37" i="1"/>
  <c r="HS37" i="1"/>
  <c r="IA37" i="1"/>
  <c r="IL37" i="1"/>
  <c r="IQ37" i="1"/>
  <c r="P38" i="1"/>
  <c r="V38" i="1"/>
  <c r="W38" i="1"/>
  <c r="X38" i="1"/>
  <c r="X37" i="1" s="1"/>
  <c r="Y38" i="1"/>
  <c r="Z38" i="1"/>
  <c r="AA38" i="1"/>
  <c r="AA37" i="1" s="1"/>
  <c r="AB38" i="1"/>
  <c r="AB37" i="1" s="1"/>
  <c r="AD38" i="1"/>
  <c r="AE38" i="1"/>
  <c r="AF38" i="1"/>
  <c r="AF37" i="1" s="1"/>
  <c r="AG38" i="1"/>
  <c r="AG37" i="1" s="1"/>
  <c r="AH38" i="1"/>
  <c r="AI38" i="1"/>
  <c r="AJ38" i="1"/>
  <c r="AJ37" i="1" s="1"/>
  <c r="AK38" i="1"/>
  <c r="AL38" i="1"/>
  <c r="AL37" i="1" s="1"/>
  <c r="AM38" i="1"/>
  <c r="AM37" i="1" s="1"/>
  <c r="AN38" i="1"/>
  <c r="AO38" i="1"/>
  <c r="AO37" i="1" s="1"/>
  <c r="AQ38" i="1"/>
  <c r="AQ37" i="1" s="1"/>
  <c r="AR38" i="1"/>
  <c r="AR37" i="1" s="1"/>
  <c r="AS38" i="1"/>
  <c r="AS37" i="1" s="1"/>
  <c r="AT38" i="1"/>
  <c r="AU38" i="1"/>
  <c r="AV38" i="1"/>
  <c r="AW38" i="1"/>
  <c r="AW37" i="1" s="1"/>
  <c r="AX38" i="1"/>
  <c r="AY38" i="1"/>
  <c r="AY37" i="1" s="1"/>
  <c r="AZ38" i="1"/>
  <c r="AZ37" i="1" s="1"/>
  <c r="BA38" i="1"/>
  <c r="BD38" i="1"/>
  <c r="BE38" i="1"/>
  <c r="BF38" i="1"/>
  <c r="BF37" i="1" s="1"/>
  <c r="BG38" i="1"/>
  <c r="BH38" i="1"/>
  <c r="BH37" i="1" s="1"/>
  <c r="BI38" i="1"/>
  <c r="BI37" i="1" s="1"/>
  <c r="BJ38" i="1"/>
  <c r="BJ37" i="1" s="1"/>
  <c r="BK38" i="1"/>
  <c r="BL38" i="1"/>
  <c r="BM38" i="1"/>
  <c r="BN38" i="1"/>
  <c r="BN37" i="1" s="1"/>
  <c r="BO38" i="1"/>
  <c r="BQ38" i="1"/>
  <c r="BR38" i="1"/>
  <c r="BR37" i="1" s="1"/>
  <c r="BS38" i="1"/>
  <c r="BT38" i="1"/>
  <c r="BT37" i="1" s="1"/>
  <c r="BU38" i="1"/>
  <c r="BV38" i="1"/>
  <c r="BV37" i="1" s="1"/>
  <c r="BW38" i="1"/>
  <c r="BX38" i="1"/>
  <c r="BX37" i="1" s="1"/>
  <c r="BY38" i="1"/>
  <c r="BZ38" i="1"/>
  <c r="BZ37" i="1" s="1"/>
  <c r="CA38" i="1"/>
  <c r="CA37" i="1" s="1"/>
  <c r="CC38" i="1"/>
  <c r="CD38" i="1"/>
  <c r="CE38" i="1"/>
  <c r="CE37" i="1" s="1"/>
  <c r="CF38" i="1"/>
  <c r="CG38" i="1"/>
  <c r="CH38" i="1"/>
  <c r="CJ38" i="1"/>
  <c r="CK38" i="1"/>
  <c r="CL38" i="1"/>
  <c r="CM38" i="1"/>
  <c r="CM37" i="1" s="1"/>
  <c r="CN38" i="1"/>
  <c r="CN37" i="1" s="1"/>
  <c r="CO38" i="1"/>
  <c r="CQ38" i="1"/>
  <c r="CQ37" i="1" s="1"/>
  <c r="CS38" i="1"/>
  <c r="CS37" i="1" s="1"/>
  <c r="CT38" i="1"/>
  <c r="CU38" i="1"/>
  <c r="CV38" i="1"/>
  <c r="CX38" i="1"/>
  <c r="CX37" i="1" s="1"/>
  <c r="CY38" i="1"/>
  <c r="DA38" i="1"/>
  <c r="DB38" i="1"/>
  <c r="DD38" i="1"/>
  <c r="DD37" i="1" s="1"/>
  <c r="DE38" i="1"/>
  <c r="DE37" i="1" s="1"/>
  <c r="DF38" i="1"/>
  <c r="DF37" i="1" s="1"/>
  <c r="DG38" i="1"/>
  <c r="DG37" i="1" s="1"/>
  <c r="DH38" i="1"/>
  <c r="DI38" i="1"/>
  <c r="DJ38" i="1"/>
  <c r="DK38" i="1"/>
  <c r="DL38" i="1"/>
  <c r="DM38" i="1"/>
  <c r="DM37" i="1" s="1"/>
  <c r="DN38" i="1"/>
  <c r="DN37" i="1" s="1"/>
  <c r="DO38" i="1"/>
  <c r="DO37" i="1" s="1"/>
  <c r="DQ38" i="1"/>
  <c r="DR38" i="1"/>
  <c r="DS38" i="1"/>
  <c r="DT38" i="1"/>
  <c r="DU38" i="1"/>
  <c r="DU37" i="1" s="1"/>
  <c r="DV38" i="1"/>
  <c r="DW38" i="1"/>
  <c r="DW37" i="1" s="1"/>
  <c r="DX38" i="1"/>
  <c r="DX37" i="1" s="1"/>
  <c r="DY38" i="1"/>
  <c r="DY37" i="1" s="1"/>
  <c r="DZ38" i="1"/>
  <c r="EA38" i="1"/>
  <c r="EA37" i="1" s="1"/>
  <c r="EB38" i="1"/>
  <c r="ED38" i="1"/>
  <c r="EE38" i="1"/>
  <c r="EE37" i="1" s="1"/>
  <c r="EF38" i="1"/>
  <c r="EF37" i="1" s="1"/>
  <c r="EG38" i="1"/>
  <c r="EH38" i="1"/>
  <c r="EI38" i="1"/>
  <c r="EI37" i="1" s="1"/>
  <c r="EJ38" i="1"/>
  <c r="EK38" i="1"/>
  <c r="EK37" i="1" s="1"/>
  <c r="EL38" i="1"/>
  <c r="EL37" i="1" s="1"/>
  <c r="EM38" i="1"/>
  <c r="EM37" i="1" s="1"/>
  <c r="EN38" i="1"/>
  <c r="EO38" i="1"/>
  <c r="EQ38" i="1"/>
  <c r="ER38" i="1"/>
  <c r="ET38" i="1"/>
  <c r="EU38" i="1"/>
  <c r="EU37" i="1" s="1"/>
  <c r="EV38" i="1"/>
  <c r="EV37" i="1" s="1"/>
  <c r="EW38" i="1"/>
  <c r="EX38" i="1"/>
  <c r="EY38" i="1"/>
  <c r="EZ38" i="1"/>
  <c r="FB38" i="1"/>
  <c r="FE38" i="1"/>
  <c r="FF38" i="1"/>
  <c r="FG38" i="1"/>
  <c r="FG37" i="1" s="1"/>
  <c r="FH38" i="1"/>
  <c r="FI38" i="1"/>
  <c r="FJ38" i="1"/>
  <c r="FK38" i="1"/>
  <c r="FK37" i="1" s="1"/>
  <c r="FM38" i="1"/>
  <c r="FM37" i="1" s="1"/>
  <c r="FN38" i="1"/>
  <c r="FO38" i="1"/>
  <c r="FO37" i="1" s="1"/>
  <c r="FQ38" i="1"/>
  <c r="FQ37" i="1" s="1"/>
  <c r="FR38" i="1"/>
  <c r="FR37" i="1" s="1"/>
  <c r="FT38" i="1"/>
  <c r="FU38" i="1"/>
  <c r="FV38" i="1"/>
  <c r="FW38" i="1"/>
  <c r="FW37" i="1" s="1"/>
  <c r="FX38" i="1"/>
  <c r="FY38" i="1"/>
  <c r="FY37" i="1" s="1"/>
  <c r="FZ38" i="1"/>
  <c r="FZ37" i="1" s="1"/>
  <c r="GB38" i="1"/>
  <c r="GB37" i="1" s="1"/>
  <c r="GD38" i="1"/>
  <c r="GE38" i="1"/>
  <c r="GF38" i="1"/>
  <c r="GG38" i="1"/>
  <c r="GG37" i="1" s="1"/>
  <c r="GH38" i="1"/>
  <c r="GJ38" i="1"/>
  <c r="GJ37" i="1" s="1"/>
  <c r="GK38" i="1"/>
  <c r="GL38" i="1"/>
  <c r="GM38" i="1"/>
  <c r="GM37" i="1" s="1"/>
  <c r="GN38" i="1"/>
  <c r="GO38" i="1"/>
  <c r="GQ38" i="1"/>
  <c r="GS38" i="1"/>
  <c r="GS37" i="1" s="1"/>
  <c r="GU38" i="1"/>
  <c r="GU37" i="1" s="1"/>
  <c r="GV38" i="1"/>
  <c r="GW38" i="1"/>
  <c r="GX38" i="1"/>
  <c r="GX37" i="1" s="1"/>
  <c r="GY38" i="1"/>
  <c r="HA38" i="1"/>
  <c r="HD38" i="1"/>
  <c r="HE38" i="1"/>
  <c r="HE37" i="1" s="1"/>
  <c r="HF38" i="1"/>
  <c r="HF37" i="1" s="1"/>
  <c r="HG38" i="1"/>
  <c r="HG37" i="1" s="1"/>
  <c r="HI38" i="1"/>
  <c r="HK38" i="1"/>
  <c r="HK37" i="1" s="1"/>
  <c r="HL38" i="1"/>
  <c r="HL37" i="1" s="1"/>
  <c r="HM38" i="1"/>
  <c r="HN38" i="1"/>
  <c r="HN37" i="1" s="1"/>
  <c r="HO38" i="1"/>
  <c r="HO37" i="1" s="1"/>
  <c r="HQ38" i="1"/>
  <c r="HS38" i="1"/>
  <c r="HT38" i="1"/>
  <c r="HU38" i="1"/>
  <c r="HU37" i="1" s="1"/>
  <c r="HV38" i="1"/>
  <c r="HV37" i="1" s="1"/>
  <c r="HW38" i="1"/>
  <c r="HW37" i="1" s="1"/>
  <c r="HY38" i="1"/>
  <c r="IA38" i="1"/>
  <c r="IB38" i="1"/>
  <c r="ID38" i="1"/>
  <c r="ID37" i="1" s="1"/>
  <c r="IE38" i="1"/>
  <c r="IE37" i="1" s="1"/>
  <c r="IF38" i="1"/>
  <c r="IG38" i="1"/>
  <c r="IG37" i="1" s="1"/>
  <c r="IH38" i="1"/>
  <c r="IH37" i="1" s="1"/>
  <c r="IJ38" i="1"/>
  <c r="IK38" i="1"/>
  <c r="IK37" i="1" s="1"/>
  <c r="IL38" i="1"/>
  <c r="IM38" i="1"/>
  <c r="IM37" i="1" s="1"/>
  <c r="IN38" i="1"/>
  <c r="IO38" i="1"/>
  <c r="IO37" i="1" s="1"/>
  <c r="IQ38" i="1"/>
  <c r="IR38" i="1"/>
  <c r="IS38" i="1"/>
  <c r="IT38" i="1"/>
  <c r="IY38" i="1" s="1"/>
  <c r="IU38" i="1"/>
  <c r="IU37" i="1" s="1"/>
  <c r="IV38" i="1"/>
  <c r="IW38" i="1"/>
  <c r="IX38" i="1"/>
  <c r="P39" i="1"/>
  <c r="W39" i="1"/>
  <c r="X39" i="1"/>
  <c r="Z39" i="1"/>
  <c r="AA39" i="1"/>
  <c r="AB39" i="1"/>
  <c r="AD39" i="1"/>
  <c r="AE39" i="1"/>
  <c r="AF39" i="1"/>
  <c r="AG39" i="1"/>
  <c r="AH39" i="1"/>
  <c r="AI39" i="1"/>
  <c r="AJ39" i="1"/>
  <c r="AL39" i="1"/>
  <c r="AM39" i="1"/>
  <c r="AN39" i="1"/>
  <c r="AO39" i="1"/>
  <c r="AQ39" i="1"/>
  <c r="AR39" i="1"/>
  <c r="AS39" i="1"/>
  <c r="AU39" i="1"/>
  <c r="AV39" i="1"/>
  <c r="AV37" i="1" s="1"/>
  <c r="AW39" i="1"/>
  <c r="AX39" i="1"/>
  <c r="AY39" i="1"/>
  <c r="AZ39" i="1"/>
  <c r="BA39" i="1"/>
  <c r="BD39" i="1"/>
  <c r="BF39" i="1"/>
  <c r="BG39" i="1"/>
  <c r="BH39" i="1"/>
  <c r="BI39" i="1"/>
  <c r="BJ39" i="1"/>
  <c r="BL39" i="1"/>
  <c r="BL37" i="1" s="1"/>
  <c r="BN39" i="1"/>
  <c r="BO39" i="1"/>
  <c r="BR39" i="1"/>
  <c r="BT39" i="1"/>
  <c r="BU39" i="1"/>
  <c r="BW39" i="1"/>
  <c r="BX39" i="1"/>
  <c r="BZ39" i="1"/>
  <c r="CE39" i="1"/>
  <c r="CF39" i="1"/>
  <c r="CH39" i="1"/>
  <c r="CI39" i="1"/>
  <c r="CK39" i="1"/>
  <c r="CM39" i="1"/>
  <c r="CN39" i="1"/>
  <c r="CQ39" i="1"/>
  <c r="CR39" i="1"/>
  <c r="CS39" i="1"/>
  <c r="CT39" i="1"/>
  <c r="CV39" i="1"/>
  <c r="CW39" i="1"/>
  <c r="CX39" i="1"/>
  <c r="CY39" i="1"/>
  <c r="CZ39" i="1"/>
  <c r="DA39" i="1"/>
  <c r="DB39" i="1"/>
  <c r="DB37" i="1" s="1"/>
  <c r="DD39" i="1"/>
  <c r="DE39" i="1"/>
  <c r="DF39" i="1"/>
  <c r="DG39" i="1"/>
  <c r="DH39" i="1"/>
  <c r="DI39" i="1"/>
  <c r="DJ39" i="1"/>
  <c r="DL39" i="1"/>
  <c r="DL37" i="1" s="1"/>
  <c r="DM39" i="1"/>
  <c r="DN39" i="1"/>
  <c r="DO39" i="1"/>
  <c r="DQ39" i="1"/>
  <c r="DR39" i="1"/>
  <c r="DS39" i="1"/>
  <c r="DT39" i="1"/>
  <c r="DT37" i="1" s="1"/>
  <c r="DU39" i="1"/>
  <c r="DV39" i="1"/>
  <c r="DW39" i="1"/>
  <c r="DX39" i="1"/>
  <c r="DY39" i="1"/>
  <c r="DZ39" i="1"/>
  <c r="EA39" i="1"/>
  <c r="EB39" i="1"/>
  <c r="EE39" i="1"/>
  <c r="EF39" i="1"/>
  <c r="EG39" i="1"/>
  <c r="EG37" i="1" s="1"/>
  <c r="EH39" i="1"/>
  <c r="EI39" i="1"/>
  <c r="EJ39" i="1"/>
  <c r="EJ37" i="1" s="1"/>
  <c r="EK39" i="1"/>
  <c r="EM39" i="1"/>
  <c r="EN39" i="1"/>
  <c r="EO39" i="1"/>
  <c r="EQ39" i="1"/>
  <c r="ER39" i="1"/>
  <c r="ES39" i="1"/>
  <c r="EU39" i="1"/>
  <c r="EV39" i="1"/>
  <c r="EW39" i="1"/>
  <c r="EX39" i="1"/>
  <c r="EY39" i="1"/>
  <c r="EZ39" i="1"/>
  <c r="EZ37" i="1" s="1"/>
  <c r="FA39" i="1"/>
  <c r="FD39" i="1"/>
  <c r="FE39" i="1"/>
  <c r="FF39" i="1"/>
  <c r="FG39" i="1"/>
  <c r="FH39" i="1"/>
  <c r="FK39" i="1"/>
  <c r="FL39" i="1"/>
  <c r="FM39" i="1"/>
  <c r="FN39" i="1"/>
  <c r="FO39" i="1"/>
  <c r="FQ39" i="1"/>
  <c r="FR39" i="1"/>
  <c r="FT39" i="1"/>
  <c r="FU39" i="1"/>
  <c r="FV39" i="1"/>
  <c r="FX39" i="1"/>
  <c r="FY39" i="1"/>
  <c r="FZ39" i="1"/>
  <c r="GB39" i="1"/>
  <c r="GD39" i="1"/>
  <c r="GE39" i="1"/>
  <c r="GF39" i="1"/>
  <c r="GF37" i="1" s="1"/>
  <c r="GG39" i="1"/>
  <c r="GH39" i="1"/>
  <c r="GJ39" i="1"/>
  <c r="GK39" i="1"/>
  <c r="GL39" i="1"/>
  <c r="GM39" i="1"/>
  <c r="GN39" i="1"/>
  <c r="GO39" i="1"/>
  <c r="GS39" i="1"/>
  <c r="GT39" i="1"/>
  <c r="GU39" i="1"/>
  <c r="GV39" i="1"/>
  <c r="GV37" i="1" s="1"/>
  <c r="GX39" i="1"/>
  <c r="HA39" i="1"/>
  <c r="HB39" i="1"/>
  <c r="HD39" i="1"/>
  <c r="HP39" i="1" s="1"/>
  <c r="HE39" i="1"/>
  <c r="HF39" i="1"/>
  <c r="HG39" i="1"/>
  <c r="HI39" i="1"/>
  <c r="HI37" i="1" s="1"/>
  <c r="HJ39" i="1"/>
  <c r="HK39" i="1"/>
  <c r="HL39" i="1"/>
  <c r="HM39" i="1"/>
  <c r="HN39" i="1"/>
  <c r="HO39" i="1"/>
  <c r="HQ39" i="1"/>
  <c r="IC39" i="1" s="1"/>
  <c r="HR39" i="1"/>
  <c r="HS39" i="1"/>
  <c r="HT39" i="1"/>
  <c r="HT37" i="1" s="1"/>
  <c r="HU39" i="1"/>
  <c r="HV39" i="1"/>
  <c r="HW39" i="1"/>
  <c r="HY39" i="1"/>
  <c r="HZ39" i="1"/>
  <c r="IA39" i="1"/>
  <c r="IB39" i="1"/>
  <c r="IB37" i="1" s="1"/>
  <c r="ID39" i="1"/>
  <c r="IE39" i="1"/>
  <c r="IF39" i="1"/>
  <c r="IF37" i="1" s="1"/>
  <c r="IG39" i="1"/>
  <c r="IH39" i="1"/>
  <c r="II39" i="1"/>
  <c r="IJ39" i="1"/>
  <c r="IJ37" i="1" s="1"/>
  <c r="IK39" i="1"/>
  <c r="IL39" i="1"/>
  <c r="IM39" i="1"/>
  <c r="IN39" i="1"/>
  <c r="IN37" i="1" s="1"/>
  <c r="IO39" i="1"/>
  <c r="IQ39" i="1"/>
  <c r="IR39" i="1"/>
  <c r="IT39" i="1"/>
  <c r="IV39" i="1"/>
  <c r="IV37" i="1" s="1"/>
  <c r="IW39" i="1"/>
  <c r="IX39" i="1"/>
  <c r="IX37" i="1" s="1"/>
  <c r="GP38" i="1" l="1"/>
  <c r="IR37" i="1"/>
  <c r="IY39" i="1"/>
  <c r="EP38" i="1"/>
  <c r="HD37" i="1"/>
  <c r="DK21" i="1"/>
  <c r="DK39" i="1"/>
  <c r="HY37" i="1"/>
  <c r="EB37" i="1"/>
  <c r="DK37" i="1"/>
  <c r="BY37" i="1"/>
  <c r="IP39" i="1"/>
  <c r="EC39" i="1"/>
  <c r="HA37" i="1"/>
  <c r="FE37" i="1"/>
  <c r="ET37" i="1"/>
  <c r="DA37" i="1"/>
  <c r="W37" i="1"/>
  <c r="AC38" i="1"/>
  <c r="GZ21" i="1"/>
  <c r="GZ38" i="1"/>
  <c r="GZ37" i="1" s="1"/>
  <c r="HC23" i="1"/>
  <c r="GR21" i="1"/>
  <c r="GR38" i="1"/>
  <c r="GR37" i="1" s="1"/>
  <c r="HX21" i="1"/>
  <c r="HX38" i="1"/>
  <c r="HX37" i="1" s="1"/>
  <c r="DI37" i="1"/>
  <c r="AP38" i="1"/>
  <c r="AE37" i="1"/>
  <c r="HH21" i="1"/>
  <c r="HH38" i="1"/>
  <c r="HH37" i="1" s="1"/>
  <c r="FC38" i="1"/>
  <c r="DQ37" i="1"/>
  <c r="EC38" i="1"/>
  <c r="AU37" i="1"/>
  <c r="ER37" i="1"/>
  <c r="BQ39" i="1"/>
  <c r="CC39" i="1" s="1"/>
  <c r="CC33" i="1"/>
  <c r="AP33" i="1"/>
  <c r="AC33" i="1"/>
  <c r="Q21" i="1"/>
  <c r="FD37" i="1"/>
  <c r="GN37" i="1"/>
  <c r="DP39" i="1"/>
  <c r="IW37" i="1"/>
  <c r="GW37" i="1"/>
  <c r="FU37" i="1"/>
  <c r="EO37" i="1"/>
  <c r="CV37" i="1"/>
  <c r="BD37" i="1"/>
  <c r="BP38" i="1"/>
  <c r="IT37" i="1"/>
  <c r="HQ37" i="1"/>
  <c r="IC38" i="1"/>
  <c r="GK37" i="1"/>
  <c r="FH37" i="1"/>
  <c r="EW37" i="1"/>
  <c r="CK37" i="1"/>
  <c r="IY33" i="1"/>
  <c r="IS39" i="1"/>
  <c r="IS37" i="1" s="1"/>
  <c r="V37" i="1"/>
  <c r="AC39" i="1"/>
  <c r="GI39" i="1"/>
  <c r="GP39" i="1" s="1"/>
  <c r="GI21" i="1"/>
  <c r="ES21" i="1"/>
  <c r="FC23" i="1"/>
  <c r="CL21" i="1"/>
  <c r="AU21" i="1"/>
  <c r="AE21" i="1"/>
  <c r="AP21" i="1" s="1"/>
  <c r="BP21" i="1"/>
  <c r="HC17" i="1"/>
  <c r="EL7" i="1"/>
  <c r="CA7" i="1"/>
  <c r="CU39" i="1"/>
  <c r="DC39" i="1" s="1"/>
  <c r="FL38" i="1"/>
  <c r="FL37" i="1" s="1"/>
  <c r="DP38" i="1"/>
  <c r="CZ38" i="1"/>
  <c r="CZ37" i="1" s="1"/>
  <c r="CR38" i="1"/>
  <c r="CJ37" i="1"/>
  <c r="BC38" i="1"/>
  <c r="AD37" i="1"/>
  <c r="EQ37" i="1"/>
  <c r="DP33" i="1"/>
  <c r="IV21" i="1"/>
  <c r="IF21" i="1"/>
  <c r="HW21" i="1"/>
  <c r="HO21" i="1"/>
  <c r="HG21" i="1"/>
  <c r="GY21" i="1"/>
  <c r="GQ21" i="1"/>
  <c r="FI21" i="1"/>
  <c r="EI21" i="1"/>
  <c r="DB21" i="1"/>
  <c r="DQ21" i="1"/>
  <c r="EW7" i="1"/>
  <c r="DX7" i="1"/>
  <c r="DP9" i="1"/>
  <c r="DH7" i="1"/>
  <c r="DP7" i="1" s="1"/>
  <c r="CQ7" i="1"/>
  <c r="DC9" i="1"/>
  <c r="AP9" i="1"/>
  <c r="Y7" i="1"/>
  <c r="Q7" i="1"/>
  <c r="HK7" i="1"/>
  <c r="CD39" i="1"/>
  <c r="CP39" i="1" s="1"/>
  <c r="BE39" i="1"/>
  <c r="BE37" i="1" s="1"/>
  <c r="GY37" i="1"/>
  <c r="GQ37" i="1"/>
  <c r="GI38" i="1"/>
  <c r="GA38" i="1"/>
  <c r="GA37" i="1" s="1"/>
  <c r="FS38" i="1"/>
  <c r="CI38" i="1"/>
  <c r="CI37" i="1" s="1"/>
  <c r="AK37" i="1"/>
  <c r="GC33" i="1"/>
  <c r="P33" i="1"/>
  <c r="IU21" i="1"/>
  <c r="IP17" i="1"/>
  <c r="EP9" i="1"/>
  <c r="EE7" i="1"/>
  <c r="EP7" i="1" s="1"/>
  <c r="CW7" i="1"/>
  <c r="FA38" i="1"/>
  <c r="FA37" i="1" s="1"/>
  <c r="ES38" i="1"/>
  <c r="ES37" i="1" s="1"/>
  <c r="CO37" i="1"/>
  <c r="CG37" i="1"/>
  <c r="HC33" i="1"/>
  <c r="EQ21" i="1"/>
  <c r="FC21" i="1" s="1"/>
  <c r="FC33" i="1"/>
  <c r="BP33" i="1"/>
  <c r="FW21" i="1"/>
  <c r="FN21" i="1"/>
  <c r="EP23" i="1"/>
  <c r="BY21" i="1"/>
  <c r="BQ21" i="1"/>
  <c r="CC21" i="1" s="1"/>
  <c r="CC23" i="1"/>
  <c r="Y21" i="1"/>
  <c r="AC23" i="1"/>
  <c r="I21" i="1"/>
  <c r="EP17" i="1"/>
  <c r="EC17" i="1"/>
  <c r="CC17" i="1"/>
  <c r="BR7" i="1"/>
  <c r="CC7" i="1" s="1"/>
  <c r="IC9" i="1"/>
  <c r="HA7" i="1"/>
  <c r="EC9" i="1"/>
  <c r="GY7" i="1"/>
  <c r="CP33" i="1"/>
  <c r="CR21" i="1"/>
  <c r="DC23" i="1"/>
  <c r="FD7" i="1"/>
  <c r="FP9" i="1"/>
  <c r="BK39" i="1"/>
  <c r="BK37" i="1" s="1"/>
  <c r="AT39" i="1"/>
  <c r="GQ39" i="1"/>
  <c r="HC39" i="1" s="1"/>
  <c r="FS39" i="1"/>
  <c r="GC39" i="1" s="1"/>
  <c r="AK39" i="1"/>
  <c r="AP39" i="1" s="1"/>
  <c r="CF37" i="1"/>
  <c r="BW37" i="1"/>
  <c r="BO37" i="1"/>
  <c r="BG37" i="1"/>
  <c r="AX37" i="1"/>
  <c r="AH37" i="1"/>
  <c r="Z37" i="1"/>
  <c r="IP33" i="1"/>
  <c r="GP23" i="1"/>
  <c r="GD21" i="1"/>
  <c r="CO21" i="1"/>
  <c r="CG21" i="1"/>
  <c r="CP21" i="1" s="1"/>
  <c r="AX21" i="1"/>
  <c r="HB21" i="1"/>
  <c r="DP17" i="1"/>
  <c r="DC17" i="1"/>
  <c r="IO7" i="1"/>
  <c r="HX7" i="1"/>
  <c r="HH7" i="1"/>
  <c r="GI7" i="1"/>
  <c r="GA7" i="1"/>
  <c r="FS7" i="1"/>
  <c r="ET39" i="1"/>
  <c r="FC39" i="1" s="1"/>
  <c r="ED39" i="1"/>
  <c r="EP39" i="1" s="1"/>
  <c r="II38" i="1"/>
  <c r="II37" i="1" s="1"/>
  <c r="IP37" i="1" s="1"/>
  <c r="CU37" i="1"/>
  <c r="Y37" i="1"/>
  <c r="BC33" i="1"/>
  <c r="IC23" i="1"/>
  <c r="GC23" i="1"/>
  <c r="FP23" i="1"/>
  <c r="FD21" i="1"/>
  <c r="IY17" i="1"/>
  <c r="FP17" i="1"/>
  <c r="BP17" i="1"/>
  <c r="IN7" i="1"/>
  <c r="IF7" i="1"/>
  <c r="HO7" i="1"/>
  <c r="GQ7" i="1"/>
  <c r="FJ39" i="1"/>
  <c r="FP39" i="1" s="1"/>
  <c r="FB39" i="1"/>
  <c r="FB37" i="1" s="1"/>
  <c r="HZ38" i="1"/>
  <c r="HZ37" i="1" s="1"/>
  <c r="HR38" i="1"/>
  <c r="HR37" i="1" s="1"/>
  <c r="HJ38" i="1"/>
  <c r="HJ37" i="1" s="1"/>
  <c r="GT38" i="1"/>
  <c r="GT37" i="1" s="1"/>
  <c r="GL37" i="1"/>
  <c r="GD37" i="1"/>
  <c r="FV37" i="1"/>
  <c r="FN37" i="1"/>
  <c r="FF37" i="1"/>
  <c r="EX37" i="1"/>
  <c r="EH37" i="1"/>
  <c r="DZ37" i="1"/>
  <c r="DR37" i="1"/>
  <c r="DJ37" i="1"/>
  <c r="DP37" i="1" s="1"/>
  <c r="CT37" i="1"/>
  <c r="CL37" i="1"/>
  <c r="BU37" i="1"/>
  <c r="AN37" i="1"/>
  <c r="IP23" i="1"/>
  <c r="EK21" i="1"/>
  <c r="DU21" i="1"/>
  <c r="DM21" i="1"/>
  <c r="DE21" i="1"/>
  <c r="DP21" i="1" s="1"/>
  <c r="BV21" i="1"/>
  <c r="BM21" i="1"/>
  <c r="AF21" i="1"/>
  <c r="IP21" i="1"/>
  <c r="FC17" i="1"/>
  <c r="CP17" i="1"/>
  <c r="GC7" i="1"/>
  <c r="BS7" i="1"/>
  <c r="BC9" i="1"/>
  <c r="FK21" i="1"/>
  <c r="EU21" i="1"/>
  <c r="EM21" i="1"/>
  <c r="EE21" i="1"/>
  <c r="EP21" i="1" s="1"/>
  <c r="DW21" i="1"/>
  <c r="DO21" i="1"/>
  <c r="DG21" i="1"/>
  <c r="CY21" i="1"/>
  <c r="CQ21" i="1"/>
  <c r="BI21" i="1"/>
  <c r="AZ21" i="1"/>
  <c r="AR21" i="1"/>
  <c r="BC21" i="1" s="1"/>
  <c r="AJ21" i="1"/>
  <c r="IC17" i="1"/>
  <c r="IX7" i="1"/>
  <c r="GJ7" i="1"/>
  <c r="GB7" i="1"/>
  <c r="FT7" i="1"/>
  <c r="FC9" i="1"/>
  <c r="BH7" i="1"/>
  <c r="AY7" i="1"/>
  <c r="AQ7" i="1"/>
  <c r="AI7" i="1"/>
  <c r="IV7" i="1"/>
  <c r="IY7" i="1" s="1"/>
  <c r="IP9" i="1"/>
  <c r="CV7" i="1"/>
  <c r="AO7" i="1"/>
  <c r="AG7" i="1"/>
  <c r="AP7" i="1" s="1"/>
  <c r="IE7" i="1"/>
  <c r="IP7" i="1" s="1"/>
  <c r="GP33" i="1"/>
  <c r="GO21" i="1"/>
  <c r="GG21" i="1"/>
  <c r="FY21" i="1"/>
  <c r="FQ21" i="1"/>
  <c r="GC21" i="1" s="1"/>
  <c r="FH7" i="1"/>
  <c r="EZ7" i="1"/>
  <c r="ER7" i="1"/>
  <c r="FC7" i="1" s="1"/>
  <c r="CL7" i="1"/>
  <c r="CD7" i="1"/>
  <c r="BV7" i="1"/>
  <c r="W7" i="1"/>
  <c r="O7" i="1"/>
  <c r="HQ7" i="1"/>
  <c r="FP33" i="1"/>
  <c r="IS21" i="1"/>
  <c r="IY21" i="1" s="1"/>
  <c r="IK21" i="1"/>
  <c r="HU21" i="1"/>
  <c r="IC21" i="1" s="1"/>
  <c r="HM21" i="1"/>
  <c r="HE21" i="1"/>
  <c r="HP21" i="1" s="1"/>
  <c r="GW21" i="1"/>
  <c r="CP23" i="1"/>
  <c r="V21" i="1"/>
  <c r="N21" i="1"/>
  <c r="F21" i="1"/>
  <c r="GN7" i="1"/>
  <c r="GF7" i="1"/>
  <c r="GP7" i="1" s="1"/>
  <c r="FX7" i="1"/>
  <c r="EH7" i="1"/>
  <c r="DZ7" i="1"/>
  <c r="DR7" i="1"/>
  <c r="EC7" i="1" s="1"/>
  <c r="DJ7" i="1"/>
  <c r="DB7" i="1"/>
  <c r="CT7" i="1"/>
  <c r="CC9" i="1"/>
  <c r="BL7" i="1"/>
  <c r="BD7" i="1"/>
  <c r="BP9" i="1"/>
  <c r="AU7" i="1"/>
  <c r="AM7" i="1"/>
  <c r="AE7" i="1"/>
  <c r="BP23" i="1"/>
  <c r="AP17" i="1"/>
  <c r="E7" i="1"/>
  <c r="P7" i="1" s="1"/>
  <c r="P17" i="1"/>
  <c r="IJ7" i="1"/>
  <c r="IB7" i="1"/>
  <c r="HT7" i="1"/>
  <c r="HL7" i="1"/>
  <c r="HD7" i="1"/>
  <c r="HP7" i="1" s="1"/>
  <c r="FN7" i="1"/>
  <c r="FF7" i="1"/>
  <c r="EX7" i="1"/>
  <c r="CJ7" i="1"/>
  <c r="CB7" i="1"/>
  <c r="BT7" i="1"/>
  <c r="GP9" i="1"/>
  <c r="CP9" i="1"/>
  <c r="AC9" i="1"/>
  <c r="IY37" i="1" l="1"/>
  <c r="BC7" i="1"/>
  <c r="BC39" i="1"/>
  <c r="AT37" i="1"/>
  <c r="BC37" i="1" s="1"/>
  <c r="DC7" i="1"/>
  <c r="HP37" i="1"/>
  <c r="HC21" i="1"/>
  <c r="FC37" i="1"/>
  <c r="AC37" i="1"/>
  <c r="IC37" i="1"/>
  <c r="CD37" i="1"/>
  <c r="CP37" i="1" s="1"/>
  <c r="HP38" i="1"/>
  <c r="BP7" i="1"/>
  <c r="HC7" i="1"/>
  <c r="FP21" i="1"/>
  <c r="GP21" i="1"/>
  <c r="FP7" i="1"/>
  <c r="FS37" i="1"/>
  <c r="GC37" i="1" s="1"/>
  <c r="GC38" i="1"/>
  <c r="AC7" i="1"/>
  <c r="AP37" i="1"/>
  <c r="BP39" i="1"/>
  <c r="ED37" i="1"/>
  <c r="EP37" i="1" s="1"/>
  <c r="BP37" i="1"/>
  <c r="FP38" i="1"/>
  <c r="CP38" i="1"/>
  <c r="HC38" i="1"/>
  <c r="DC21" i="1"/>
  <c r="GI37" i="1"/>
  <c r="GP37" i="1" s="1"/>
  <c r="EC21" i="1"/>
  <c r="FJ37" i="1"/>
  <c r="FP37" i="1" s="1"/>
  <c r="CP7" i="1"/>
  <c r="HC37" i="1"/>
  <c r="BQ37" i="1"/>
  <c r="CC37" i="1" s="1"/>
  <c r="IC7" i="1"/>
  <c r="P21" i="1"/>
  <c r="DC38" i="1"/>
  <c r="CR37" i="1"/>
  <c r="DC37" i="1" s="1"/>
  <c r="IP38" i="1"/>
  <c r="AC21" i="1"/>
  <c r="EC37" i="1"/>
</calcChain>
</file>

<file path=xl/sharedStrings.xml><?xml version="1.0" encoding="utf-8"?>
<sst xmlns="http://schemas.openxmlformats.org/spreadsheetml/2006/main" count="294" uniqueCount="290">
  <si>
    <t>OBS: Em abril de 2021, houve retificação dos valores da dívida externa contratual, devido a notificação tardia de desembolso.</t>
  </si>
  <si>
    <r>
      <t>4</t>
    </r>
    <r>
      <rPr>
        <sz val="8"/>
        <rFont val="Trebuchet MS"/>
        <family val="2"/>
      </rPr>
      <t xml:space="preserve">   Refere-se a resgates de títulos para pagamento de dividendos e/ou juros sobre o capital próprio da entidade em que a União possui participação, relativo ao lucro do exercício. Até dezembro de 2012, tais valores eram computados em "Compras".</t>
    </r>
  </si>
  <si>
    <r>
      <t xml:space="preserve"> 3</t>
    </r>
    <r>
      <rPr>
        <sz val="8"/>
        <rFont val="Trebuchet MS"/>
        <family val="2"/>
      </rPr>
      <t xml:space="preserve">  Referente a operações de compra ou venda definitiva de títulos do Tesouro Nacional pelo Banco Central em mercado. Valores positivos significam que as vendas superaram as compras.</t>
    </r>
  </si>
  <si>
    <r>
      <t xml:space="preserve"> 2</t>
    </r>
    <r>
      <rPr>
        <sz val="8"/>
        <rFont val="Trebuchet MS"/>
        <family val="2"/>
      </rPr>
      <t xml:space="preserve">  Emissões diretas que não envolvem o recebimento de recursos financeiros como contrapartida pela operação;</t>
    </r>
  </si>
  <si>
    <r>
      <t xml:space="preserve"> 1</t>
    </r>
    <r>
      <rPr>
        <sz val="8"/>
        <rFont val="Trebuchet MS"/>
        <family val="2"/>
      </rPr>
      <t xml:space="preserve">  Emissões diretas que envolvem o recebimento de recursos financeiros como contrapartida pela operação;</t>
    </r>
  </si>
  <si>
    <t xml:space="preserve">       DPFe    (II - IV)</t>
  </si>
  <si>
    <t xml:space="preserve">       DPMFi    (I - III)</t>
  </si>
  <si>
    <t>EMISSÃO LÍQUIDA</t>
  </si>
  <si>
    <t xml:space="preserve">        Dívida Contratual</t>
  </si>
  <si>
    <t xml:space="preserve">        Dívida Mobiliária</t>
  </si>
  <si>
    <t>IV - DPFe</t>
  </si>
  <si>
    <t xml:space="preserve">        NBC-E</t>
  </si>
  <si>
    <t>Banco Central</t>
  </si>
  <si>
    <t xml:space="preserve">        Cancelamentos</t>
  </si>
  <si>
    <r>
      <t xml:space="preserve">        Pagamento de Dividendos</t>
    </r>
    <r>
      <rPr>
        <vertAlign val="superscript"/>
        <sz val="10"/>
        <rFont val="Trebuchet MS"/>
        <family val="2"/>
      </rPr>
      <t>4</t>
    </r>
  </si>
  <si>
    <t xml:space="preserve">        Tesouro Direto</t>
  </si>
  <si>
    <t xml:space="preserve">        Trocas Oferta Pública</t>
  </si>
  <si>
    <t xml:space="preserve">        Compras</t>
  </si>
  <si>
    <t xml:space="preserve">        Vencimentos</t>
  </si>
  <si>
    <t>III - DPMFi</t>
  </si>
  <si>
    <t>RESGATES</t>
  </si>
  <si>
    <t>II - DPFe</t>
  </si>
  <si>
    <r>
      <t xml:space="preserve">        Transferência de Carteira </t>
    </r>
    <r>
      <rPr>
        <vertAlign val="superscript"/>
        <sz val="10"/>
        <rFont val="Trebuchet MS"/>
        <family val="2"/>
      </rPr>
      <t>3</t>
    </r>
  </si>
  <si>
    <r>
      <t xml:space="preserve">        Emissão Direta sem Financeiro </t>
    </r>
    <r>
      <rPr>
        <b/>
        <vertAlign val="superscript"/>
        <sz val="10"/>
        <rFont val="Trebuchet MS"/>
        <family val="2"/>
      </rPr>
      <t>2</t>
    </r>
    <r>
      <rPr>
        <sz val="10"/>
        <rFont val="Arial"/>
        <family val="2"/>
      </rPr>
      <t/>
    </r>
  </si>
  <si>
    <r>
      <t xml:space="preserve">        Emissão Direta com Financeiro </t>
    </r>
    <r>
      <rPr>
        <b/>
        <vertAlign val="superscript"/>
        <sz val="10"/>
        <rFont val="Trebuchet MS"/>
        <family val="2"/>
      </rPr>
      <t>1</t>
    </r>
  </si>
  <si>
    <t xml:space="preserve">        Oferta Pública </t>
  </si>
  <si>
    <t>I - DPMFi</t>
  </si>
  <si>
    <t>EMISSÕES</t>
  </si>
  <si>
    <t>2026</t>
  </si>
  <si>
    <t>Ago/26</t>
  </si>
  <si>
    <t>Jul/26</t>
  </si>
  <si>
    <t>Jun/26</t>
  </si>
  <si>
    <t>Mai/26</t>
  </si>
  <si>
    <t>Abr/26</t>
  </si>
  <si>
    <t>Mar/26</t>
  </si>
  <si>
    <t>Fev/26</t>
  </si>
  <si>
    <t>Jan/26</t>
  </si>
  <si>
    <t>2025</t>
  </si>
  <si>
    <t>Dez/25</t>
  </si>
  <si>
    <t>Nov/25</t>
  </si>
  <si>
    <t>Out/25</t>
  </si>
  <si>
    <t>Set/25</t>
  </si>
  <si>
    <t>Ago/25</t>
  </si>
  <si>
    <t>Jul/25</t>
  </si>
  <si>
    <t>Jun/25</t>
  </si>
  <si>
    <t>Mai/25</t>
  </si>
  <si>
    <t>Abr/25</t>
  </si>
  <si>
    <t>Mar/25</t>
  </si>
  <si>
    <t>Fev/25</t>
  </si>
  <si>
    <t>Jan/25</t>
  </si>
  <si>
    <t>2024</t>
  </si>
  <si>
    <t>Dez/24</t>
  </si>
  <si>
    <t>Nov/24</t>
  </si>
  <si>
    <t>Out/24</t>
  </si>
  <si>
    <t>Set/24</t>
  </si>
  <si>
    <t>Ago/24</t>
  </si>
  <si>
    <t>Jul/24</t>
  </si>
  <si>
    <t>Jun/24</t>
  </si>
  <si>
    <t>Mai/24</t>
  </si>
  <si>
    <t>Abr/24</t>
  </si>
  <si>
    <t>Mar/24</t>
  </si>
  <si>
    <t>Fev/24</t>
  </si>
  <si>
    <t>Jan/24</t>
  </si>
  <si>
    <t>2023</t>
  </si>
  <si>
    <t>Dez/23</t>
  </si>
  <si>
    <t>Nov/23</t>
  </si>
  <si>
    <t>Out/23</t>
  </si>
  <si>
    <t>Set/23</t>
  </si>
  <si>
    <t>Ago/23</t>
  </si>
  <si>
    <t>Jul/23</t>
  </si>
  <si>
    <t>Jun/23</t>
  </si>
  <si>
    <t>Mai/23</t>
  </si>
  <si>
    <t>Abr/23</t>
  </si>
  <si>
    <t>Mar/23</t>
  </si>
  <si>
    <t>Fev/23</t>
  </si>
  <si>
    <t>Jan/23</t>
  </si>
  <si>
    <t>2022</t>
  </si>
  <si>
    <t>Dez/22</t>
  </si>
  <si>
    <t>Nov/22</t>
  </si>
  <si>
    <t>Out/22</t>
  </si>
  <si>
    <t>Set/22</t>
  </si>
  <si>
    <t>Ago/22</t>
  </si>
  <si>
    <t>Jul/22</t>
  </si>
  <si>
    <t>Jun/22</t>
  </si>
  <si>
    <t>Mai/22</t>
  </si>
  <si>
    <t>Abr/22</t>
  </si>
  <si>
    <t>Mar/22</t>
  </si>
  <si>
    <t>Fev/22</t>
  </si>
  <si>
    <t>Jan/22</t>
  </si>
  <si>
    <t>2021</t>
  </si>
  <si>
    <t>Dez/21</t>
  </si>
  <si>
    <t>Nov/21</t>
  </si>
  <si>
    <t>Out/21</t>
  </si>
  <si>
    <t>Set/21</t>
  </si>
  <si>
    <t>Ago/21</t>
  </si>
  <si>
    <t>Jul/21</t>
  </si>
  <si>
    <t>Jun/21</t>
  </si>
  <si>
    <t>Mai/21</t>
  </si>
  <si>
    <t>Abr/21</t>
  </si>
  <si>
    <t>Mar/21</t>
  </si>
  <si>
    <t>Fev/21</t>
  </si>
  <si>
    <t>Jan/21</t>
  </si>
  <si>
    <t>2020</t>
  </si>
  <si>
    <t>Dez/20</t>
  </si>
  <si>
    <t>Nov/20</t>
  </si>
  <si>
    <t>Out/20</t>
  </si>
  <si>
    <t>Set/20</t>
  </si>
  <si>
    <t>Ago/20</t>
  </si>
  <si>
    <t>Jul/20</t>
  </si>
  <si>
    <t>Jun/20</t>
  </si>
  <si>
    <t>Mai/20</t>
  </si>
  <si>
    <t>Abr/20</t>
  </si>
  <si>
    <t>Mar/20</t>
  </si>
  <si>
    <t>Fev/20</t>
  </si>
  <si>
    <t>Jan/20</t>
  </si>
  <si>
    <t>2019</t>
  </si>
  <si>
    <t>Dez/19</t>
  </si>
  <si>
    <t>Nov/19</t>
  </si>
  <si>
    <t>Out/19</t>
  </si>
  <si>
    <t>Set/19</t>
  </si>
  <si>
    <t>Ago/19</t>
  </si>
  <si>
    <t>Jul/19</t>
  </si>
  <si>
    <t>Jun/19</t>
  </si>
  <si>
    <t>Mai/19</t>
  </si>
  <si>
    <t>Abr/19</t>
  </si>
  <si>
    <t>Mar/19</t>
  </si>
  <si>
    <t>Fev/19</t>
  </si>
  <si>
    <t>Jan/19</t>
  </si>
  <si>
    <t>2018</t>
  </si>
  <si>
    <t>Dez/18</t>
  </si>
  <si>
    <t>Nov/18</t>
  </si>
  <si>
    <t>Out/18</t>
  </si>
  <si>
    <t>Set/18</t>
  </si>
  <si>
    <t>Ago/18</t>
  </si>
  <si>
    <t>Jul/18</t>
  </si>
  <si>
    <t>Jun/18</t>
  </si>
  <si>
    <t>Mai/18</t>
  </si>
  <si>
    <t>Abr/18</t>
  </si>
  <si>
    <t>Mar/18</t>
  </si>
  <si>
    <t>Fev/18</t>
  </si>
  <si>
    <t>Jan/18</t>
  </si>
  <si>
    <t>2017</t>
  </si>
  <si>
    <t>Dez/17</t>
  </si>
  <si>
    <t>Nov/17</t>
  </si>
  <si>
    <t>Out/17</t>
  </si>
  <si>
    <t>Set/17</t>
  </si>
  <si>
    <t>Ago/17</t>
  </si>
  <si>
    <t>Jul/17</t>
  </si>
  <si>
    <t>Jun/17</t>
  </si>
  <si>
    <t>Mai/17</t>
  </si>
  <si>
    <t>Abr/17</t>
  </si>
  <si>
    <t>Mar/17</t>
  </si>
  <si>
    <t>Fev/17</t>
  </si>
  <si>
    <t>Jan/17</t>
  </si>
  <si>
    <t>2016</t>
  </si>
  <si>
    <t>Dez/16</t>
  </si>
  <si>
    <t>Nov/16</t>
  </si>
  <si>
    <t>Out/16</t>
  </si>
  <si>
    <t>Set/16</t>
  </si>
  <si>
    <t>Ago/16</t>
  </si>
  <si>
    <t>Jul/16</t>
  </si>
  <si>
    <t>Jun/16</t>
  </si>
  <si>
    <t>Mai/16</t>
  </si>
  <si>
    <t>Abr/16</t>
  </si>
  <si>
    <t>Mar/16</t>
  </si>
  <si>
    <t>Fev/16</t>
  </si>
  <si>
    <t>Jan/16</t>
  </si>
  <si>
    <t>2015</t>
  </si>
  <si>
    <t>Dez/15</t>
  </si>
  <si>
    <t>Nov/15</t>
  </si>
  <si>
    <t>Out/15</t>
  </si>
  <si>
    <t>Set/15</t>
  </si>
  <si>
    <t>Ago/15</t>
  </si>
  <si>
    <t>Jul/15</t>
  </si>
  <si>
    <t>Jun/15</t>
  </si>
  <si>
    <t>Mai/15</t>
  </si>
  <si>
    <t>Abr/15</t>
  </si>
  <si>
    <t>Mar/15</t>
  </si>
  <si>
    <t>Fev/15</t>
  </si>
  <si>
    <t>Jan/15</t>
  </si>
  <si>
    <t>2014</t>
  </si>
  <si>
    <t>Dez/14</t>
  </si>
  <si>
    <t>Nov/14</t>
  </si>
  <si>
    <t>Out/14</t>
  </si>
  <si>
    <t>Set/14</t>
  </si>
  <si>
    <t>Ago/14</t>
  </si>
  <si>
    <t>Jul/14</t>
  </si>
  <si>
    <t>Jun/14</t>
  </si>
  <si>
    <t>Mai/14</t>
  </si>
  <si>
    <t>Abr/14</t>
  </si>
  <si>
    <t>Mar/14</t>
  </si>
  <si>
    <t>Fev/14</t>
  </si>
  <si>
    <t>Jan/14</t>
  </si>
  <si>
    <t>2013</t>
  </si>
  <si>
    <t>Dez/13</t>
  </si>
  <si>
    <t>Nov/13</t>
  </si>
  <si>
    <t>Out/13</t>
  </si>
  <si>
    <t>Set/13</t>
  </si>
  <si>
    <t>Ago/13</t>
  </si>
  <si>
    <t>Jul/13</t>
  </si>
  <si>
    <t>Jun/13</t>
  </si>
  <si>
    <t>Mai/13</t>
  </si>
  <si>
    <t>Abr/13</t>
  </si>
  <si>
    <t>Mar/13</t>
  </si>
  <si>
    <t>Fev/13</t>
  </si>
  <si>
    <t>Jan/13</t>
  </si>
  <si>
    <t>2012</t>
  </si>
  <si>
    <t>Dez/12</t>
  </si>
  <si>
    <t>Nov/12</t>
  </si>
  <si>
    <t>Out/12</t>
  </si>
  <si>
    <t>Set/12</t>
  </si>
  <si>
    <t>Ago/12</t>
  </si>
  <si>
    <t>Jul/12</t>
  </si>
  <si>
    <t>Jun/12</t>
  </si>
  <si>
    <t>Mai/12</t>
  </si>
  <si>
    <t>Abr/12</t>
  </si>
  <si>
    <t>Mar/12</t>
  </si>
  <si>
    <t>Fev/12</t>
  </si>
  <si>
    <t>Jan/12</t>
  </si>
  <si>
    <t>2011</t>
  </si>
  <si>
    <t>Dez/11</t>
  </si>
  <si>
    <t>Nov/11</t>
  </si>
  <si>
    <t>Out/11</t>
  </si>
  <si>
    <t>Set/11</t>
  </si>
  <si>
    <t>Ago/11</t>
  </si>
  <si>
    <t>Jul/11</t>
  </si>
  <si>
    <t>Jun/11</t>
  </si>
  <si>
    <t>Mai/11</t>
  </si>
  <si>
    <t>Abr/11</t>
  </si>
  <si>
    <t>Mar/11</t>
  </si>
  <si>
    <t>Fev/11</t>
  </si>
  <si>
    <t>Jan/11</t>
  </si>
  <si>
    <t>2010</t>
  </si>
  <si>
    <t>Dez/10</t>
  </si>
  <si>
    <t>Nov/10</t>
  </si>
  <si>
    <t>Out/10</t>
  </si>
  <si>
    <t>Set/10</t>
  </si>
  <si>
    <t>Ago/10</t>
  </si>
  <si>
    <t>Jul/10</t>
  </si>
  <si>
    <t>Jun/10</t>
  </si>
  <si>
    <t>Mai/10</t>
  </si>
  <si>
    <t>Abr/10</t>
  </si>
  <si>
    <t>Mar/10</t>
  </si>
  <si>
    <t>Fev/10</t>
  </si>
  <si>
    <t>Jan/10</t>
  </si>
  <si>
    <t>2009</t>
  </si>
  <si>
    <t>Dez/09</t>
  </si>
  <si>
    <t>Nov/09</t>
  </si>
  <si>
    <t>Out/09</t>
  </si>
  <si>
    <t>Set/09</t>
  </si>
  <si>
    <t>Ago/09</t>
  </si>
  <si>
    <t>Jul/09</t>
  </si>
  <si>
    <t>Jun/09</t>
  </si>
  <si>
    <t>Mai/09</t>
  </si>
  <si>
    <t>Abr/09</t>
  </si>
  <si>
    <t>Mar/09</t>
  </si>
  <si>
    <t>Fev/09</t>
  </si>
  <si>
    <t>Jan/09</t>
  </si>
  <si>
    <t>2008</t>
  </si>
  <si>
    <t>Dez/08</t>
  </si>
  <si>
    <t>Nov/08</t>
  </si>
  <si>
    <t>Out/08</t>
  </si>
  <si>
    <t>Set/08</t>
  </si>
  <si>
    <t>Ago/08</t>
  </si>
  <si>
    <t>Jul/08</t>
  </si>
  <si>
    <t>Jun/08</t>
  </si>
  <si>
    <t>Mai/08</t>
  </si>
  <si>
    <t>Abr/08</t>
  </si>
  <si>
    <t>Mar/08</t>
  </si>
  <si>
    <t>Fev/08</t>
  </si>
  <si>
    <t>Jan/08</t>
  </si>
  <si>
    <t>2007</t>
  </si>
  <si>
    <t>Dez/07</t>
  </si>
  <si>
    <t>Nov/07</t>
  </si>
  <si>
    <t>Out/07</t>
  </si>
  <si>
    <t>Set/07</t>
  </si>
  <si>
    <t>Ago/07</t>
  </si>
  <si>
    <t>Jul/07</t>
  </si>
  <si>
    <t>Jun/07</t>
  </si>
  <si>
    <t>Mai/07</t>
  </si>
  <si>
    <t>Abr/07</t>
  </si>
  <si>
    <t>Mar/07</t>
  </si>
  <si>
    <t>Fev/07</t>
  </si>
  <si>
    <t>Jan/07</t>
  </si>
  <si>
    <t>Dez/06</t>
  </si>
  <si>
    <t>Nov/06</t>
  </si>
  <si>
    <t>(R$ Milhões)</t>
  </si>
  <si>
    <t xml:space="preserve">                    </t>
  </si>
  <si>
    <t xml:space="preserve">  </t>
  </si>
  <si>
    <t xml:space="preserve">ANEXO 1.1 - EMISSÕES E RESGATES DA DPF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</si>
</sst>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000000000_);_(* \(#,##0.00000000000\);_(* &quot;-&quot;???????????_);_(@_)"/>
    <numFmt numFmtId="165" formatCode="_(* #,##0.00000000000_);_(* \(#,##0.00000000000\);_(* &quot;-&quot;??_);_(@_)"/>
    <numFmt numFmtId="166" formatCode="_(* #,##0.00_);_(* \(#,##0.00\);_(* &quot;-&quot;??_);_(@_)"/>
    <numFmt numFmtId="167" formatCode="_(* #,##0.0000_);_(* \(#,##0.0000\);_(* &quot;-&quot;??_);_(@_)"/>
    <numFmt numFmtId="168" formatCode="_-* #,##0.0000_-;\-* #,##0.0000_-;_-* &quot;-&quot;??_-;_-@_-"/>
    <numFmt numFmtId="169" formatCode="_-* #,##0.000_-;\-* #,##0.000_-;_-* &quot;-&quot;??_-;_-@_-"/>
    <numFmt numFmtId="170" formatCode="_(* #,##0_);_(* \(#,##0\);_(* &quot;-&quot;??_);_(@_)"/>
  </numFmts>
  <fonts count="19" x14ac:knownFonts="1">
    <font>
      <sz val="10"/>
      <name val="Arial"/>
    </font>
    <font>
      <sz val="10"/>
      <name val="Trebuchet MS"/>
      <family val="2"/>
    </font>
    <font>
      <sz val="10"/>
      <color indexed="10"/>
      <name val="Trebuchet MS"/>
      <family val="2"/>
    </font>
    <font>
      <vertAlign val="superscript"/>
      <sz val="8"/>
      <name val="Trebuchet MS"/>
      <family val="2"/>
    </font>
    <font>
      <sz val="8"/>
      <name val="Trebuchet MS"/>
      <family val="2"/>
    </font>
    <font>
      <sz val="10"/>
      <name val="Arial"/>
      <family val="2"/>
    </font>
    <font>
      <b/>
      <i/>
      <sz val="12"/>
      <color theme="4" tint="-0.24994659260841701"/>
      <name val="Trebuchet MS"/>
      <family val="2"/>
    </font>
    <font>
      <sz val="10"/>
      <color rgb="FFBF3F0C"/>
      <name val="Trebuchet MS"/>
      <family val="2"/>
    </font>
    <font>
      <b/>
      <i/>
      <sz val="12"/>
      <color theme="0"/>
      <name val="Trebuchet MS"/>
      <family val="2"/>
    </font>
    <font>
      <sz val="10"/>
      <color indexed="8"/>
      <name val="Trebuchet MS"/>
      <family val="2"/>
    </font>
    <font>
      <b/>
      <i/>
      <sz val="12"/>
      <color rgb="FFBF3F0C"/>
      <name val="Trebuchet MS"/>
      <family val="2"/>
    </font>
    <font>
      <b/>
      <sz val="10"/>
      <name val="Trebuchet MS"/>
      <family val="2"/>
    </font>
    <font>
      <vertAlign val="superscript"/>
      <sz val="10"/>
      <name val="Trebuchet MS"/>
      <family val="2"/>
    </font>
    <font>
      <b/>
      <sz val="10"/>
      <color indexed="8"/>
      <name val="Trebuchet MS"/>
      <family val="2"/>
    </font>
    <font>
      <b/>
      <vertAlign val="superscript"/>
      <sz val="10"/>
      <name val="Trebuchet MS"/>
      <family val="2"/>
    </font>
    <font>
      <b/>
      <sz val="9"/>
      <name val="Trebuchet MS"/>
      <family val="2"/>
    </font>
    <font>
      <sz val="10"/>
      <color indexed="8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3F0C"/>
        <bgColor indexed="64"/>
      </patternFill>
    </fill>
    <fill>
      <patternFill patternType="mediumGray">
        <fgColor indexed="9"/>
        <bgColor indexed="9"/>
      </patternFill>
    </fill>
    <fill>
      <patternFill patternType="darkGray">
        <fgColor indexed="9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F3F0C"/>
      </bottom>
      <diagonal/>
    </border>
    <border>
      <left/>
      <right/>
      <top style="medium">
        <color rgb="FFBF3F0C"/>
      </top>
      <bottom/>
      <diagonal/>
    </border>
  </borders>
  <cellStyleXfs count="5">
    <xf numFmtId="0" fontId="0" fillId="0" borderId="0"/>
    <xf numFmtId="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3" fillId="2" borderId="0" xfId="0" applyFont="1" applyFill="1" applyAlignment="1">
      <alignment horizontal="left" vertical="center"/>
    </xf>
    <xf numFmtId="167" fontId="1" fillId="0" borderId="0" xfId="0" applyNumberFormat="1" applyFont="1"/>
    <xf numFmtId="0" fontId="4" fillId="2" borderId="0" xfId="0" applyFont="1" applyFill="1" applyAlignment="1">
      <alignment horizontal="left" vertical="center"/>
    </xf>
    <xf numFmtId="168" fontId="1" fillId="0" borderId="0" xfId="0" applyNumberFormat="1" applyFont="1"/>
    <xf numFmtId="4" fontId="1" fillId="0" borderId="0" xfId="1" applyFont="1"/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0" borderId="1" xfId="0" applyFont="1" applyBorder="1" applyAlignment="1">
      <alignment vertical="center"/>
    </xf>
    <xf numFmtId="166" fontId="1" fillId="3" borderId="0" xfId="1" applyNumberFormat="1" applyFont="1" applyFill="1" applyAlignment="1">
      <alignment horizontal="center" vertical="center"/>
    </xf>
    <xf numFmtId="166" fontId="1" fillId="4" borderId="0" xfId="1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6" fontId="8" fillId="5" borderId="0" xfId="1" applyNumberFormat="1" applyFont="1" applyFill="1" applyAlignment="1">
      <alignment vertical="center"/>
    </xf>
    <xf numFmtId="0" fontId="8" fillId="5" borderId="0" xfId="0" applyFont="1" applyFill="1" applyAlignment="1">
      <alignment vertical="center"/>
    </xf>
    <xf numFmtId="166" fontId="9" fillId="6" borderId="0" xfId="1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43" fontId="9" fillId="3" borderId="0" xfId="1" applyNumberFormat="1" applyFont="1" applyFill="1" applyAlignment="1">
      <alignment horizontal="center" vertical="center"/>
    </xf>
    <xf numFmtId="166" fontId="9" fillId="4" borderId="0" xfId="1" applyNumberFormat="1" applyFont="1" applyFill="1" applyAlignment="1">
      <alignment horizontal="center" vertical="center"/>
    </xf>
    <xf numFmtId="166" fontId="9" fillId="3" borderId="0" xfId="1" applyNumberFormat="1" applyFont="1" applyFill="1" applyAlignment="1">
      <alignment horizontal="center" vertical="center"/>
    </xf>
    <xf numFmtId="169" fontId="9" fillId="3" borderId="0" xfId="1" applyNumberFormat="1" applyFont="1" applyFill="1" applyAlignment="1">
      <alignment horizontal="center" vertical="center"/>
    </xf>
    <xf numFmtId="4" fontId="9" fillId="4" borderId="0" xfId="1" applyFont="1" applyFill="1" applyAlignment="1">
      <alignment horizontal="right" vertical="center"/>
    </xf>
    <xf numFmtId="43" fontId="10" fillId="3" borderId="0" xfId="1" applyNumberFormat="1" applyFont="1" applyFill="1" applyAlignment="1">
      <alignment vertical="center"/>
    </xf>
    <xf numFmtId="166" fontId="10" fillId="4" borderId="0" xfId="1" applyNumberFormat="1" applyFont="1" applyFill="1" applyAlignment="1">
      <alignment vertical="center"/>
    </xf>
    <xf numFmtId="166" fontId="10" fillId="3" borderId="0" xfId="1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166" fontId="9" fillId="2" borderId="0" xfId="1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13" fillId="2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4" fontId="9" fillId="3" borderId="0" xfId="1" applyFont="1" applyFill="1" applyAlignment="1">
      <alignment horizontal="right" vertical="center"/>
    </xf>
    <xf numFmtId="167" fontId="10" fillId="4" borderId="0" xfId="1" applyNumberFormat="1" applyFont="1" applyFill="1" applyAlignment="1">
      <alignment vertical="center"/>
    </xf>
    <xf numFmtId="4" fontId="10" fillId="4" borderId="0" xfId="1" applyFont="1" applyFill="1" applyAlignment="1">
      <alignment vertical="center"/>
    </xf>
    <xf numFmtId="4" fontId="7" fillId="0" borderId="0" xfId="1" applyFont="1" applyAlignment="1">
      <alignment vertical="center"/>
    </xf>
    <xf numFmtId="10" fontId="1" fillId="0" borderId="0" xfId="2" applyNumberFormat="1" applyFont="1" applyAlignment="1">
      <alignment vertical="center"/>
    </xf>
    <xf numFmtId="166" fontId="11" fillId="7" borderId="0" xfId="1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10" fontId="7" fillId="0" borderId="0" xfId="2" applyNumberFormat="1" applyFont="1" applyAlignment="1">
      <alignment vertical="center"/>
    </xf>
    <xf numFmtId="49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" fontId="4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4" fontId="15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vertical="top"/>
    </xf>
    <xf numFmtId="0" fontId="11" fillId="0" borderId="1" xfId="0" applyFont="1" applyBorder="1" applyAlignment="1">
      <alignment horizontal="right" vertical="top"/>
    </xf>
    <xf numFmtId="10" fontId="11" fillId="0" borderId="1" xfId="2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11" fillId="8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8" borderId="1" xfId="0" applyFont="1" applyFill="1" applyBorder="1" applyAlignment="1">
      <alignment vertical="top"/>
    </xf>
    <xf numFmtId="0" fontId="11" fillId="8" borderId="2" xfId="0" applyFont="1" applyFill="1" applyBorder="1"/>
    <xf numFmtId="0" fontId="2" fillId="0" borderId="2" xfId="0" applyFont="1" applyBorder="1"/>
    <xf numFmtId="0" fontId="1" fillId="0" borderId="2" xfId="0" applyFont="1" applyBorder="1"/>
    <xf numFmtId="0" fontId="1" fillId="8" borderId="2" xfId="0" applyFont="1" applyFill="1" applyBorder="1"/>
    <xf numFmtId="166" fontId="16" fillId="0" borderId="0" xfId="3" applyFont="1"/>
    <xf numFmtId="3" fontId="17" fillId="0" borderId="0" xfId="4" applyNumberFormat="1" applyFont="1"/>
    <xf numFmtId="166" fontId="18" fillId="0" borderId="0" xfId="3" applyFont="1"/>
    <xf numFmtId="170" fontId="16" fillId="0" borderId="0" xfId="3" applyNumberFormat="1" applyFont="1"/>
    <xf numFmtId="170" fontId="18" fillId="0" borderId="0" xfId="3" applyNumberFormat="1" applyFont="1"/>
  </cellXfs>
  <cellStyles count="5">
    <cellStyle name="Normal" xfId="0" builtinId="0"/>
    <cellStyle name="Normal 29" xfId="4" xr:uid="{55C41487-5978-476B-B9CD-4DC46CA28DA7}"/>
    <cellStyle name="Porcentagem" xfId="2" builtinId="5"/>
    <cellStyle name="Separador de milhares 10 4" xfId="3" xr:uid="{9EA09C68-0893-4C17-B8EB-858CD464EDFE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souro.sharepoint.com/teams/EQUIPE.G/Documentos%20Compartilhados/06%20-%20Relat&#243;rios%20para%20Entidades%20Nacionais%20-%20RMD,%20RA/RMD/2026/8%20Agosto/Anexos%20RMD/Anexo%20RMD_Agosto_26.xlsx" TargetMode="External"/><Relationship Id="rId1" Type="http://schemas.openxmlformats.org/officeDocument/2006/relationships/externalLinkPath" Target="https://tesouro.sharepoint.com/teams/EQUIPE.G/Documentos%20Compartilhados/06%20-%20Relat&#243;rios%20para%20Entidades%20Nacionais%20-%20RMD,%20RA/RMD/2026/8%20Agosto/Anexos%20RMD/Anexo%20RMD_Agosto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1.1"/>
      <sheetName val="1.2"/>
      <sheetName val="1.3"/>
      <sheetName val="1.4"/>
      <sheetName val="1.5 (até 2012) "/>
      <sheetName val="1.5"/>
      <sheetName val="1.6"/>
      <sheetName val="1.7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3.1"/>
      <sheetName val="3.2"/>
      <sheetName val="3.3"/>
      <sheetName val="3.4"/>
      <sheetName val="3.6"/>
      <sheetName val="3.7"/>
      <sheetName val="3.8"/>
      <sheetName val="3.9"/>
      <sheetName val="3.10"/>
      <sheetName val="4.1"/>
      <sheetName val="4.2"/>
      <sheetName val="4.3"/>
      <sheetName val="5.1"/>
      <sheetName val="5.2"/>
      <sheetName val="5.3"/>
      <sheetName val="5.4"/>
      <sheetName val="5.5"/>
      <sheetName val="5.6"/>
      <sheetName val="5.7"/>
      <sheetName val="6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A211-022F-4DB6-8390-8702918A82CF}">
  <sheetPr>
    <tabColor theme="9" tint="-0.249977111117893"/>
    <pageSetUpPr fitToPage="1"/>
  </sheetPr>
  <dimension ref="A1:JB49"/>
  <sheetViews>
    <sheetView showGridLines="0" tabSelected="1" zoomScale="70" zoomScaleNormal="70" zoomScaleSheetLayoutView="75" workbookViewId="0">
      <pane xSplit="1" topLeftCell="B1" activePane="topRight" state="frozen"/>
      <selection pane="topRight"/>
    </sheetView>
  </sheetViews>
  <sheetFormatPr defaultColWidth="9.109375" defaultRowHeight="14.4" x14ac:dyDescent="0.35"/>
  <cols>
    <col min="1" max="1" width="34" style="1" customWidth="1"/>
    <col min="2" max="27" width="15.5546875" style="1" customWidth="1"/>
    <col min="28" max="46" width="15.5546875" style="2" customWidth="1"/>
    <col min="47" max="66" width="15.5546875" style="1" customWidth="1"/>
    <col min="67" max="67" width="18.44140625" style="1" customWidth="1"/>
    <col min="68" max="93" width="15.5546875" style="1" customWidth="1"/>
    <col min="94" max="95" width="16.88671875" style="1" customWidth="1"/>
    <col min="96" max="121" width="15.5546875" style="1" customWidth="1"/>
    <col min="122" max="122" width="15" style="1" customWidth="1"/>
    <col min="123" max="123" width="14.6640625" style="1" customWidth="1"/>
    <col min="124" max="124" width="16.88671875" style="1" customWidth="1"/>
    <col min="125" max="184" width="15.5546875" style="1" customWidth="1"/>
    <col min="185" max="185" width="18.88671875" style="1" customWidth="1"/>
    <col min="186" max="188" width="15.5546875" style="1" customWidth="1"/>
    <col min="189" max="189" width="16.88671875" style="1" customWidth="1"/>
    <col min="190" max="197" width="15.5546875" style="1" customWidth="1"/>
    <col min="198" max="198" width="18.88671875" style="1" customWidth="1"/>
    <col min="199" max="200" width="15.5546875" style="1" customWidth="1"/>
    <col min="201" max="201" width="16.5546875" style="1" customWidth="1"/>
    <col min="202" max="210" width="15.5546875" style="1" customWidth="1"/>
    <col min="211" max="211" width="18.88671875" style="1" customWidth="1"/>
    <col min="212" max="212" width="16.5546875" style="1" customWidth="1"/>
    <col min="213" max="223" width="15.5546875" style="1" customWidth="1"/>
    <col min="224" max="224" width="18.88671875" style="1" customWidth="1"/>
    <col min="225" max="236" width="15.5546875" style="1" customWidth="1"/>
    <col min="237" max="237" width="18.88671875" style="1" customWidth="1"/>
    <col min="238" max="238" width="20" style="1" customWidth="1"/>
    <col min="239" max="247" width="15.5546875" style="1" customWidth="1"/>
    <col min="248" max="249" width="17.109375" style="1" bestFit="1" customWidth="1"/>
    <col min="250" max="250" width="18.88671875" style="1" customWidth="1"/>
    <col min="251" max="251" width="20" style="1" customWidth="1"/>
    <col min="252" max="255" width="17.109375" style="1" bestFit="1" customWidth="1"/>
    <col min="256" max="258" width="15.5546875" style="1" customWidth="1"/>
    <col min="259" max="259" width="18.88671875" style="1" customWidth="1"/>
    <col min="260" max="260" width="9.109375" style="1"/>
    <col min="261" max="261" width="12.6640625" style="1" bestFit="1" customWidth="1"/>
    <col min="262" max="16384" width="9.109375" style="1"/>
  </cols>
  <sheetData>
    <row r="1" spans="1:262" ht="15" thickBot="1" x14ac:dyDescent="0.4">
      <c r="CD1" s="67"/>
      <c r="CE1" s="68"/>
      <c r="CF1" s="68"/>
      <c r="CG1" s="66"/>
      <c r="CH1" s="67"/>
      <c r="CI1" s="66"/>
      <c r="CJ1" s="66"/>
      <c r="CK1" s="66"/>
      <c r="CL1" s="64"/>
      <c r="CM1" s="65"/>
      <c r="CN1" s="64"/>
      <c r="CO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D1" s="64"/>
      <c r="IE1" s="64"/>
      <c r="IF1" s="64"/>
      <c r="IG1" s="64"/>
      <c r="IH1" s="64"/>
      <c r="II1" s="64"/>
      <c r="IJ1" s="64"/>
      <c r="IK1" s="64"/>
      <c r="IL1" s="64"/>
      <c r="IM1" s="64"/>
      <c r="IN1" s="64"/>
      <c r="IO1" s="64"/>
      <c r="IQ1" s="64"/>
      <c r="IR1" s="64"/>
      <c r="IS1" s="64"/>
      <c r="IT1" s="64"/>
      <c r="IU1" s="64"/>
      <c r="IV1" s="64"/>
      <c r="IW1" s="64"/>
      <c r="IX1" s="64"/>
    </row>
    <row r="2" spans="1:262" ht="24.9" customHeight="1" x14ac:dyDescent="0.35">
      <c r="A2" s="60" t="s">
        <v>289</v>
      </c>
      <c r="B2" s="60"/>
      <c r="C2" s="63"/>
      <c r="D2" s="63"/>
      <c r="E2" s="63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 t="s">
        <v>288</v>
      </c>
      <c r="AA2" s="62"/>
      <c r="AB2" s="61"/>
      <c r="AC2" s="61"/>
      <c r="AD2" s="61"/>
      <c r="AE2" s="61"/>
      <c r="AF2" s="61"/>
      <c r="AG2" s="61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  <c r="FK2" s="60"/>
      <c r="FL2" s="60"/>
      <c r="FM2" s="60"/>
      <c r="FN2" s="60"/>
      <c r="FO2" s="60"/>
      <c r="FP2" s="60"/>
      <c r="FQ2" s="60"/>
      <c r="FR2" s="60"/>
      <c r="FS2" s="60"/>
      <c r="FT2" s="60"/>
      <c r="FU2" s="60"/>
      <c r="FV2" s="60"/>
      <c r="FW2" s="60"/>
      <c r="FX2" s="60"/>
      <c r="FY2" s="60"/>
      <c r="FZ2" s="60"/>
      <c r="GA2" s="60"/>
      <c r="GB2" s="60"/>
      <c r="GC2" s="60"/>
      <c r="GD2" s="60"/>
      <c r="GE2" s="60"/>
      <c r="GF2" s="60"/>
      <c r="GG2" s="60"/>
      <c r="GH2" s="60"/>
      <c r="GI2" s="60"/>
      <c r="GJ2" s="60"/>
      <c r="GK2" s="60"/>
      <c r="GL2" s="60"/>
      <c r="GM2" s="60"/>
      <c r="GN2" s="60"/>
      <c r="GO2" s="60"/>
      <c r="GP2" s="60"/>
      <c r="GQ2" s="60"/>
      <c r="GR2" s="60"/>
      <c r="GS2" s="60"/>
      <c r="GT2" s="60"/>
      <c r="GU2" s="60"/>
      <c r="GV2" s="60"/>
      <c r="GW2" s="60"/>
      <c r="GX2" s="60"/>
      <c r="GY2" s="60"/>
      <c r="GZ2" s="60"/>
      <c r="HA2" s="60"/>
      <c r="HB2" s="60"/>
      <c r="HC2" s="60"/>
      <c r="HD2" s="60"/>
      <c r="HE2" s="60"/>
      <c r="HF2" s="60"/>
      <c r="HG2" s="60"/>
      <c r="HH2" s="60"/>
      <c r="HI2" s="60"/>
      <c r="HJ2" s="60"/>
      <c r="HK2" s="60"/>
      <c r="HL2" s="60"/>
      <c r="HM2" s="60"/>
      <c r="HN2" s="60"/>
      <c r="HO2" s="60"/>
      <c r="HP2" s="60"/>
      <c r="HQ2" s="60"/>
      <c r="HR2" s="60"/>
      <c r="HS2" s="60"/>
      <c r="HT2" s="60"/>
      <c r="HU2" s="60"/>
      <c r="HV2" s="60"/>
      <c r="HW2" s="60"/>
      <c r="HX2" s="60"/>
      <c r="HY2" s="60"/>
      <c r="HZ2" s="60"/>
      <c r="IA2" s="60"/>
      <c r="IB2" s="60"/>
      <c r="IC2" s="60"/>
      <c r="ID2" s="60"/>
      <c r="IE2" s="60"/>
      <c r="IF2" s="60"/>
      <c r="IG2" s="60"/>
      <c r="IH2" s="60"/>
      <c r="II2" s="60"/>
      <c r="IJ2" s="60"/>
      <c r="IK2" s="60"/>
      <c r="IL2" s="60"/>
      <c r="IM2" s="60"/>
      <c r="IN2" s="60"/>
      <c r="IO2" s="60"/>
      <c r="IP2" s="60"/>
      <c r="IQ2" s="60"/>
      <c r="IR2" s="60"/>
      <c r="IS2" s="60"/>
      <c r="IT2" s="60"/>
      <c r="IU2" s="60"/>
      <c r="IV2" s="60"/>
      <c r="IW2" s="60"/>
      <c r="IX2" s="60"/>
      <c r="IY2" s="60"/>
    </row>
    <row r="3" spans="1:262" s="53" customFormat="1" ht="24.9" customHeight="1" thickBot="1" x14ac:dyDescent="0.3">
      <c r="A3" s="57" t="s">
        <v>287</v>
      </c>
      <c r="B3" s="57"/>
      <c r="C3" s="59"/>
      <c r="D3" s="59"/>
      <c r="E3" s="59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8"/>
      <c r="AC3" s="58"/>
      <c r="AD3" s="58"/>
      <c r="AE3" s="58"/>
      <c r="AF3" s="58"/>
      <c r="AG3" s="58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6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4"/>
      <c r="EZ3" s="54"/>
      <c r="FA3" s="54"/>
      <c r="FB3" s="54"/>
      <c r="FC3" s="54"/>
      <c r="FD3" s="54"/>
      <c r="FE3" s="54"/>
      <c r="FF3" s="54"/>
      <c r="FG3" s="54"/>
      <c r="FH3" s="54"/>
      <c r="FI3" s="54"/>
      <c r="FJ3" s="54"/>
      <c r="FK3" s="54"/>
      <c r="FL3" s="54"/>
      <c r="FM3" s="54"/>
      <c r="FN3" s="54"/>
      <c r="FO3" s="54"/>
      <c r="FP3" s="54"/>
      <c r="FQ3" s="54"/>
      <c r="FR3" s="54"/>
      <c r="FS3" s="54"/>
      <c r="FT3" s="54"/>
      <c r="FU3" s="54"/>
      <c r="FV3" s="54"/>
      <c r="FW3" s="54"/>
      <c r="FX3" s="54"/>
      <c r="FY3" s="54"/>
      <c r="FZ3" s="54"/>
      <c r="GA3" s="54"/>
      <c r="GB3" s="54"/>
      <c r="GC3" s="54"/>
      <c r="GD3" s="54"/>
      <c r="GE3" s="54"/>
      <c r="GF3" s="54"/>
      <c r="GG3" s="54"/>
      <c r="GH3" s="54"/>
      <c r="GI3" s="54"/>
      <c r="GJ3" s="54"/>
      <c r="GK3" s="54"/>
      <c r="GL3" s="54"/>
      <c r="GM3" s="54"/>
      <c r="GN3" s="54"/>
      <c r="GO3" s="54"/>
      <c r="GP3" s="54"/>
      <c r="GQ3" s="54"/>
      <c r="GR3" s="54"/>
      <c r="GS3" s="54"/>
      <c r="GT3" s="54"/>
      <c r="GU3" s="54"/>
      <c r="GV3" s="54"/>
      <c r="GW3" s="54"/>
      <c r="GX3" s="54"/>
      <c r="GY3" s="54"/>
      <c r="GZ3" s="54"/>
      <c r="HA3" s="54"/>
      <c r="HB3" s="54"/>
      <c r="HC3" s="54"/>
      <c r="HD3" s="54"/>
      <c r="HE3" s="54"/>
      <c r="HF3" s="54"/>
      <c r="HG3" s="54"/>
      <c r="HH3" s="54"/>
      <c r="HI3" s="54"/>
      <c r="HJ3" s="54"/>
      <c r="HK3" s="54"/>
      <c r="HL3" s="54"/>
      <c r="HM3" s="54"/>
      <c r="HN3" s="54"/>
      <c r="HO3" s="54"/>
      <c r="HP3" s="54"/>
      <c r="HQ3" s="54"/>
      <c r="HR3" s="54"/>
      <c r="HS3" s="54"/>
      <c r="HT3" s="54"/>
      <c r="HU3" s="54"/>
      <c r="HV3" s="54"/>
      <c r="HW3" s="54"/>
      <c r="HX3" s="54"/>
      <c r="HY3" s="54"/>
      <c r="HZ3" s="54"/>
      <c r="IA3" s="54"/>
      <c r="IB3" s="54"/>
      <c r="IC3" s="54"/>
      <c r="ID3" s="54"/>
      <c r="IE3" s="54"/>
      <c r="IF3" s="54"/>
      <c r="IG3" s="54"/>
      <c r="IH3" s="54"/>
      <c r="II3" s="54"/>
      <c r="IJ3" s="54"/>
      <c r="IK3" s="54"/>
      <c r="IL3" s="54"/>
      <c r="IM3" s="54"/>
      <c r="IN3" s="54"/>
      <c r="IO3" s="54"/>
      <c r="IP3" s="54"/>
      <c r="IQ3" s="54"/>
      <c r="IR3" s="54"/>
      <c r="IS3" s="55"/>
      <c r="IT3" s="55"/>
      <c r="IU3" s="55"/>
      <c r="IV3" s="54"/>
      <c r="IW3" s="54"/>
      <c r="IX3" s="54"/>
      <c r="IY3" s="54" t="s">
        <v>286</v>
      </c>
    </row>
    <row r="4" spans="1:262" s="11" customFormat="1" ht="20.100000000000001" customHeight="1" x14ac:dyDescent="0.25">
      <c r="A4" s="52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1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</row>
    <row r="5" spans="1:262" s="11" customFormat="1" ht="20.100000000000001" customHeight="1" x14ac:dyDescent="0.25">
      <c r="A5" s="49"/>
      <c r="B5" s="48" t="s">
        <v>285</v>
      </c>
      <c r="C5" s="48" t="s">
        <v>284</v>
      </c>
      <c r="D5" s="48" t="s">
        <v>283</v>
      </c>
      <c r="E5" s="48" t="s">
        <v>282</v>
      </c>
      <c r="F5" s="48" t="s">
        <v>281</v>
      </c>
      <c r="G5" s="48" t="s">
        <v>280</v>
      </c>
      <c r="H5" s="48" t="s">
        <v>279</v>
      </c>
      <c r="I5" s="48" t="s">
        <v>278</v>
      </c>
      <c r="J5" s="48" t="s">
        <v>277</v>
      </c>
      <c r="K5" s="48" t="s">
        <v>276</v>
      </c>
      <c r="L5" s="48" t="s">
        <v>275</v>
      </c>
      <c r="M5" s="48" t="s">
        <v>274</v>
      </c>
      <c r="N5" s="48" t="s">
        <v>273</v>
      </c>
      <c r="O5" s="48" t="s">
        <v>272</v>
      </c>
      <c r="P5" s="48" t="s">
        <v>271</v>
      </c>
      <c r="Q5" s="48" t="s">
        <v>270</v>
      </c>
      <c r="R5" s="48" t="s">
        <v>269</v>
      </c>
      <c r="S5" s="48" t="s">
        <v>268</v>
      </c>
      <c r="T5" s="48" t="s">
        <v>267</v>
      </c>
      <c r="U5" s="48" t="s">
        <v>266</v>
      </c>
      <c r="V5" s="48" t="s">
        <v>265</v>
      </c>
      <c r="W5" s="48" t="s">
        <v>264</v>
      </c>
      <c r="X5" s="48" t="s">
        <v>263</v>
      </c>
      <c r="Y5" s="48" t="s">
        <v>262</v>
      </c>
      <c r="Z5" s="48" t="s">
        <v>261</v>
      </c>
      <c r="AA5" s="48" t="s">
        <v>260</v>
      </c>
      <c r="AB5" s="48" t="s">
        <v>259</v>
      </c>
      <c r="AC5" s="48" t="s">
        <v>258</v>
      </c>
      <c r="AD5" s="48" t="s">
        <v>257</v>
      </c>
      <c r="AE5" s="48" t="s">
        <v>256</v>
      </c>
      <c r="AF5" s="48" t="s">
        <v>255</v>
      </c>
      <c r="AG5" s="48" t="s">
        <v>254</v>
      </c>
      <c r="AH5" s="48" t="s">
        <v>253</v>
      </c>
      <c r="AI5" s="48" t="s">
        <v>252</v>
      </c>
      <c r="AJ5" s="48" t="s">
        <v>251</v>
      </c>
      <c r="AK5" s="48" t="s">
        <v>250</v>
      </c>
      <c r="AL5" s="48" t="s">
        <v>249</v>
      </c>
      <c r="AM5" s="48" t="s">
        <v>248</v>
      </c>
      <c r="AN5" s="48" t="s">
        <v>247</v>
      </c>
      <c r="AO5" s="48" t="s">
        <v>246</v>
      </c>
      <c r="AP5" s="48" t="s">
        <v>245</v>
      </c>
      <c r="AQ5" s="48" t="s">
        <v>244</v>
      </c>
      <c r="AR5" s="48" t="s">
        <v>243</v>
      </c>
      <c r="AS5" s="48" t="s">
        <v>242</v>
      </c>
      <c r="AT5" s="48" t="s">
        <v>241</v>
      </c>
      <c r="AU5" s="48" t="s">
        <v>240</v>
      </c>
      <c r="AV5" s="48" t="s">
        <v>239</v>
      </c>
      <c r="AW5" s="48" t="s">
        <v>238</v>
      </c>
      <c r="AX5" s="48" t="s">
        <v>237</v>
      </c>
      <c r="AY5" s="48" t="s">
        <v>236</v>
      </c>
      <c r="AZ5" s="48" t="s">
        <v>235</v>
      </c>
      <c r="BA5" s="48" t="s">
        <v>234</v>
      </c>
      <c r="BB5" s="48" t="s">
        <v>233</v>
      </c>
      <c r="BC5" s="48" t="s">
        <v>232</v>
      </c>
      <c r="BD5" s="48" t="s">
        <v>231</v>
      </c>
      <c r="BE5" s="48" t="s">
        <v>230</v>
      </c>
      <c r="BF5" s="48" t="s">
        <v>229</v>
      </c>
      <c r="BG5" s="48" t="s">
        <v>228</v>
      </c>
      <c r="BH5" s="48" t="s">
        <v>227</v>
      </c>
      <c r="BI5" s="48" t="s">
        <v>226</v>
      </c>
      <c r="BJ5" s="48" t="s">
        <v>225</v>
      </c>
      <c r="BK5" s="48" t="s">
        <v>224</v>
      </c>
      <c r="BL5" s="48" t="s">
        <v>223</v>
      </c>
      <c r="BM5" s="48" t="s">
        <v>222</v>
      </c>
      <c r="BN5" s="48" t="s">
        <v>221</v>
      </c>
      <c r="BO5" s="48" t="s">
        <v>220</v>
      </c>
      <c r="BP5" s="48" t="s">
        <v>219</v>
      </c>
      <c r="BQ5" s="48" t="s">
        <v>218</v>
      </c>
      <c r="BR5" s="48" t="s">
        <v>217</v>
      </c>
      <c r="BS5" s="48" t="s">
        <v>216</v>
      </c>
      <c r="BT5" s="48" t="s">
        <v>215</v>
      </c>
      <c r="BU5" s="48" t="s">
        <v>214</v>
      </c>
      <c r="BV5" s="48" t="s">
        <v>213</v>
      </c>
      <c r="BW5" s="48" t="s">
        <v>212</v>
      </c>
      <c r="BX5" s="48" t="s">
        <v>211</v>
      </c>
      <c r="BY5" s="48" t="s">
        <v>210</v>
      </c>
      <c r="BZ5" s="48" t="s">
        <v>209</v>
      </c>
      <c r="CA5" s="48" t="s">
        <v>208</v>
      </c>
      <c r="CB5" s="48" t="s">
        <v>207</v>
      </c>
      <c r="CC5" s="48" t="s">
        <v>206</v>
      </c>
      <c r="CD5" s="48" t="s">
        <v>205</v>
      </c>
      <c r="CE5" s="48" t="s">
        <v>204</v>
      </c>
      <c r="CF5" s="48" t="s">
        <v>203</v>
      </c>
      <c r="CG5" s="48" t="s">
        <v>202</v>
      </c>
      <c r="CH5" s="48" t="s">
        <v>201</v>
      </c>
      <c r="CI5" s="48" t="s">
        <v>200</v>
      </c>
      <c r="CJ5" s="48" t="s">
        <v>199</v>
      </c>
      <c r="CK5" s="48" t="s">
        <v>198</v>
      </c>
      <c r="CL5" s="48" t="s">
        <v>197</v>
      </c>
      <c r="CM5" s="48" t="s">
        <v>196</v>
      </c>
      <c r="CN5" s="48" t="s">
        <v>195</v>
      </c>
      <c r="CO5" s="48" t="s">
        <v>194</v>
      </c>
      <c r="CP5" s="48" t="s">
        <v>193</v>
      </c>
      <c r="CQ5" s="48" t="s">
        <v>192</v>
      </c>
      <c r="CR5" s="48" t="s">
        <v>191</v>
      </c>
      <c r="CS5" s="48" t="s">
        <v>190</v>
      </c>
      <c r="CT5" s="48" t="s">
        <v>189</v>
      </c>
      <c r="CU5" s="48" t="s">
        <v>188</v>
      </c>
      <c r="CV5" s="48" t="s">
        <v>187</v>
      </c>
      <c r="CW5" s="48" t="s">
        <v>186</v>
      </c>
      <c r="CX5" s="48" t="s">
        <v>185</v>
      </c>
      <c r="CY5" s="48" t="s">
        <v>184</v>
      </c>
      <c r="CZ5" s="48" t="s">
        <v>183</v>
      </c>
      <c r="DA5" s="48" t="s">
        <v>182</v>
      </c>
      <c r="DB5" s="48" t="s">
        <v>181</v>
      </c>
      <c r="DC5" s="48" t="s">
        <v>180</v>
      </c>
      <c r="DD5" s="48" t="s">
        <v>179</v>
      </c>
      <c r="DE5" s="48" t="s">
        <v>178</v>
      </c>
      <c r="DF5" s="48" t="s">
        <v>177</v>
      </c>
      <c r="DG5" s="48" t="s">
        <v>176</v>
      </c>
      <c r="DH5" s="48" t="s">
        <v>175</v>
      </c>
      <c r="DI5" s="48" t="s">
        <v>174</v>
      </c>
      <c r="DJ5" s="48" t="s">
        <v>173</v>
      </c>
      <c r="DK5" s="48" t="s">
        <v>172</v>
      </c>
      <c r="DL5" s="48" t="s">
        <v>171</v>
      </c>
      <c r="DM5" s="48" t="s">
        <v>170</v>
      </c>
      <c r="DN5" s="48" t="s">
        <v>169</v>
      </c>
      <c r="DO5" s="48" t="s">
        <v>168</v>
      </c>
      <c r="DP5" s="48" t="s">
        <v>167</v>
      </c>
      <c r="DQ5" s="48" t="s">
        <v>166</v>
      </c>
      <c r="DR5" s="48" t="s">
        <v>165</v>
      </c>
      <c r="DS5" s="48" t="s">
        <v>164</v>
      </c>
      <c r="DT5" s="48" t="s">
        <v>163</v>
      </c>
      <c r="DU5" s="48" t="s">
        <v>162</v>
      </c>
      <c r="DV5" s="48" t="s">
        <v>161</v>
      </c>
      <c r="DW5" s="48" t="s">
        <v>160</v>
      </c>
      <c r="DX5" s="48" t="s">
        <v>159</v>
      </c>
      <c r="DY5" s="48" t="s">
        <v>158</v>
      </c>
      <c r="DZ5" s="48" t="s">
        <v>157</v>
      </c>
      <c r="EA5" s="48" t="s">
        <v>156</v>
      </c>
      <c r="EB5" s="48" t="s">
        <v>155</v>
      </c>
      <c r="EC5" s="48" t="s">
        <v>154</v>
      </c>
      <c r="ED5" s="48" t="s">
        <v>153</v>
      </c>
      <c r="EE5" s="48" t="s">
        <v>152</v>
      </c>
      <c r="EF5" s="48" t="s">
        <v>151</v>
      </c>
      <c r="EG5" s="48" t="s">
        <v>150</v>
      </c>
      <c r="EH5" s="48" t="s">
        <v>149</v>
      </c>
      <c r="EI5" s="48" t="s">
        <v>148</v>
      </c>
      <c r="EJ5" s="48" t="s">
        <v>147</v>
      </c>
      <c r="EK5" s="48" t="s">
        <v>146</v>
      </c>
      <c r="EL5" s="48" t="s">
        <v>145</v>
      </c>
      <c r="EM5" s="48" t="s">
        <v>144</v>
      </c>
      <c r="EN5" s="48" t="s">
        <v>143</v>
      </c>
      <c r="EO5" s="48" t="s">
        <v>142</v>
      </c>
      <c r="EP5" s="48" t="s">
        <v>141</v>
      </c>
      <c r="EQ5" s="48" t="s">
        <v>140</v>
      </c>
      <c r="ER5" s="48" t="s">
        <v>139</v>
      </c>
      <c r="ES5" s="48" t="s">
        <v>138</v>
      </c>
      <c r="ET5" s="48" t="s">
        <v>137</v>
      </c>
      <c r="EU5" s="48" t="s">
        <v>136</v>
      </c>
      <c r="EV5" s="48" t="s">
        <v>135</v>
      </c>
      <c r="EW5" s="48" t="s">
        <v>134</v>
      </c>
      <c r="EX5" s="48" t="s">
        <v>133</v>
      </c>
      <c r="EY5" s="48" t="s">
        <v>132</v>
      </c>
      <c r="EZ5" s="48" t="s">
        <v>131</v>
      </c>
      <c r="FA5" s="48" t="s">
        <v>130</v>
      </c>
      <c r="FB5" s="48" t="s">
        <v>129</v>
      </c>
      <c r="FC5" s="48" t="s">
        <v>128</v>
      </c>
      <c r="FD5" s="48" t="s">
        <v>127</v>
      </c>
      <c r="FE5" s="48" t="s">
        <v>126</v>
      </c>
      <c r="FF5" s="48" t="s">
        <v>125</v>
      </c>
      <c r="FG5" s="48" t="s">
        <v>124</v>
      </c>
      <c r="FH5" s="48" t="s">
        <v>123</v>
      </c>
      <c r="FI5" s="48" t="s">
        <v>122</v>
      </c>
      <c r="FJ5" s="48" t="s">
        <v>121</v>
      </c>
      <c r="FK5" s="48" t="s">
        <v>120</v>
      </c>
      <c r="FL5" s="48" t="s">
        <v>119</v>
      </c>
      <c r="FM5" s="48" t="s">
        <v>118</v>
      </c>
      <c r="FN5" s="48" t="s">
        <v>117</v>
      </c>
      <c r="FO5" s="48" t="s">
        <v>116</v>
      </c>
      <c r="FP5" s="48" t="s">
        <v>115</v>
      </c>
      <c r="FQ5" s="48" t="s">
        <v>114</v>
      </c>
      <c r="FR5" s="48" t="s">
        <v>113</v>
      </c>
      <c r="FS5" s="48" t="s">
        <v>112</v>
      </c>
      <c r="FT5" s="48" t="s">
        <v>111</v>
      </c>
      <c r="FU5" s="48" t="s">
        <v>110</v>
      </c>
      <c r="FV5" s="48" t="s">
        <v>109</v>
      </c>
      <c r="FW5" s="48" t="s">
        <v>108</v>
      </c>
      <c r="FX5" s="48" t="s">
        <v>107</v>
      </c>
      <c r="FY5" s="48" t="s">
        <v>106</v>
      </c>
      <c r="FZ5" s="48" t="s">
        <v>105</v>
      </c>
      <c r="GA5" s="48" t="s">
        <v>104</v>
      </c>
      <c r="GB5" s="48" t="s">
        <v>103</v>
      </c>
      <c r="GC5" s="48" t="s">
        <v>102</v>
      </c>
      <c r="GD5" s="48" t="s">
        <v>101</v>
      </c>
      <c r="GE5" s="48" t="s">
        <v>100</v>
      </c>
      <c r="GF5" s="48" t="s">
        <v>99</v>
      </c>
      <c r="GG5" s="48" t="s">
        <v>98</v>
      </c>
      <c r="GH5" s="48" t="s">
        <v>97</v>
      </c>
      <c r="GI5" s="48" t="s">
        <v>96</v>
      </c>
      <c r="GJ5" s="48" t="s">
        <v>95</v>
      </c>
      <c r="GK5" s="48" t="s">
        <v>94</v>
      </c>
      <c r="GL5" s="48" t="s">
        <v>93</v>
      </c>
      <c r="GM5" s="48" t="s">
        <v>92</v>
      </c>
      <c r="GN5" s="48" t="s">
        <v>91</v>
      </c>
      <c r="GO5" s="48" t="s">
        <v>90</v>
      </c>
      <c r="GP5" s="48" t="s">
        <v>89</v>
      </c>
      <c r="GQ5" s="48" t="s">
        <v>88</v>
      </c>
      <c r="GR5" s="48" t="s">
        <v>87</v>
      </c>
      <c r="GS5" s="48" t="s">
        <v>86</v>
      </c>
      <c r="GT5" s="48" t="s">
        <v>85</v>
      </c>
      <c r="GU5" s="48" t="s">
        <v>84</v>
      </c>
      <c r="GV5" s="48" t="s">
        <v>83</v>
      </c>
      <c r="GW5" s="48" t="s">
        <v>82</v>
      </c>
      <c r="GX5" s="48" t="s">
        <v>81</v>
      </c>
      <c r="GY5" s="48" t="s">
        <v>80</v>
      </c>
      <c r="GZ5" s="48" t="s">
        <v>79</v>
      </c>
      <c r="HA5" s="48" t="s">
        <v>78</v>
      </c>
      <c r="HB5" s="48" t="s">
        <v>77</v>
      </c>
      <c r="HC5" s="48" t="s">
        <v>76</v>
      </c>
      <c r="HD5" s="48" t="s">
        <v>75</v>
      </c>
      <c r="HE5" s="48" t="s">
        <v>74</v>
      </c>
      <c r="HF5" s="48" t="s">
        <v>73</v>
      </c>
      <c r="HG5" s="48" t="s">
        <v>72</v>
      </c>
      <c r="HH5" s="48" t="s">
        <v>71</v>
      </c>
      <c r="HI5" s="48" t="s">
        <v>70</v>
      </c>
      <c r="HJ5" s="48" t="s">
        <v>69</v>
      </c>
      <c r="HK5" s="48" t="s">
        <v>68</v>
      </c>
      <c r="HL5" s="48" t="s">
        <v>67</v>
      </c>
      <c r="HM5" s="48" t="s">
        <v>66</v>
      </c>
      <c r="HN5" s="48" t="s">
        <v>65</v>
      </c>
      <c r="HO5" s="48" t="s">
        <v>64</v>
      </c>
      <c r="HP5" s="48" t="s">
        <v>63</v>
      </c>
      <c r="HQ5" s="48" t="s">
        <v>62</v>
      </c>
      <c r="HR5" s="48" t="s">
        <v>61</v>
      </c>
      <c r="HS5" s="48" t="s">
        <v>60</v>
      </c>
      <c r="HT5" s="48" t="s">
        <v>59</v>
      </c>
      <c r="HU5" s="48" t="s">
        <v>58</v>
      </c>
      <c r="HV5" s="48" t="s">
        <v>57</v>
      </c>
      <c r="HW5" s="48" t="s">
        <v>56</v>
      </c>
      <c r="HX5" s="48" t="s">
        <v>55</v>
      </c>
      <c r="HY5" s="48" t="s">
        <v>54</v>
      </c>
      <c r="HZ5" s="48" t="s">
        <v>53</v>
      </c>
      <c r="IA5" s="48" t="s">
        <v>52</v>
      </c>
      <c r="IB5" s="48" t="s">
        <v>51</v>
      </c>
      <c r="IC5" s="48" t="s">
        <v>50</v>
      </c>
      <c r="ID5" s="48" t="s">
        <v>49</v>
      </c>
      <c r="IE5" s="48" t="s">
        <v>48</v>
      </c>
      <c r="IF5" s="48" t="s">
        <v>47</v>
      </c>
      <c r="IG5" s="48" t="s">
        <v>46</v>
      </c>
      <c r="IH5" s="48" t="s">
        <v>45</v>
      </c>
      <c r="II5" s="48" t="s">
        <v>44</v>
      </c>
      <c r="IJ5" s="48" t="s">
        <v>43</v>
      </c>
      <c r="IK5" s="48" t="s">
        <v>42</v>
      </c>
      <c r="IL5" s="48" t="s">
        <v>41</v>
      </c>
      <c r="IM5" s="48" t="s">
        <v>40</v>
      </c>
      <c r="IN5" s="48" t="s">
        <v>39</v>
      </c>
      <c r="IO5" s="48" t="s">
        <v>38</v>
      </c>
      <c r="IP5" s="48" t="s">
        <v>37</v>
      </c>
      <c r="IQ5" s="48" t="s">
        <v>36</v>
      </c>
      <c r="IR5" s="48" t="s">
        <v>35</v>
      </c>
      <c r="IS5" s="48" t="s">
        <v>34</v>
      </c>
      <c r="IT5" s="48" t="s">
        <v>33</v>
      </c>
      <c r="IU5" s="48" t="s">
        <v>32</v>
      </c>
      <c r="IV5" s="48" t="s">
        <v>31</v>
      </c>
      <c r="IW5" s="48" t="s">
        <v>30</v>
      </c>
      <c r="IX5" s="48" t="s">
        <v>29</v>
      </c>
      <c r="IY5" s="48" t="s">
        <v>28</v>
      </c>
    </row>
    <row r="6" spans="1:262" s="11" customFormat="1" ht="12" customHeight="1" x14ac:dyDescent="0.25">
      <c r="A6" s="49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</row>
    <row r="7" spans="1:262" s="21" customFormat="1" ht="20.100000000000001" customHeight="1" x14ac:dyDescent="0.25">
      <c r="A7" s="23" t="s">
        <v>27</v>
      </c>
      <c r="B7" s="22">
        <v>64904.73</v>
      </c>
      <c r="C7" s="22">
        <v>35328.755224100008</v>
      </c>
      <c r="D7" s="22">
        <v>52006.666744710004</v>
      </c>
      <c r="E7" s="22">
        <f>E9+E17</f>
        <v>42504.335436691617</v>
      </c>
      <c r="F7" s="22">
        <f>F9+F17</f>
        <v>53425.928212671497</v>
      </c>
      <c r="G7" s="22">
        <f>G9+G17</f>
        <v>54197.30503699847</v>
      </c>
      <c r="H7" s="22">
        <f>H9+H17</f>
        <v>52468.573144877213</v>
      </c>
      <c r="I7" s="22">
        <f>I9+I17</f>
        <v>62168.146180586307</v>
      </c>
      <c r="J7" s="22">
        <f>J9+J17</f>
        <v>29228.563250811643</v>
      </c>
      <c r="K7" s="22">
        <f>K9+K17</f>
        <v>18613.100247333292</v>
      </c>
      <c r="L7" s="22">
        <f>L9+L17</f>
        <v>42788.048052460035</v>
      </c>
      <c r="M7" s="22">
        <f>M9+M17</f>
        <v>44842.588032271393</v>
      </c>
      <c r="N7" s="22">
        <f>N9+N17</f>
        <v>29777.684142082766</v>
      </c>
      <c r="O7" s="22">
        <f>O9+O17</f>
        <v>28870.745102982371</v>
      </c>
      <c r="P7" s="22">
        <f>SUM(D7:O7)</f>
        <v>510891.68358447665</v>
      </c>
      <c r="Q7" s="22">
        <f>Q9+Q17</f>
        <v>28661.551611363004</v>
      </c>
      <c r="R7" s="22">
        <f>R9+R17</f>
        <v>49654.864004635339</v>
      </c>
      <c r="S7" s="22">
        <f>S9+S17</f>
        <v>32281.4744565851</v>
      </c>
      <c r="T7" s="22">
        <f>T9+T17</f>
        <v>27126.122809035853</v>
      </c>
      <c r="U7" s="22">
        <f>U9+U17</f>
        <v>24284.788589944023</v>
      </c>
      <c r="V7" s="22">
        <f>V9+V17</f>
        <v>24571.207261980489</v>
      </c>
      <c r="W7" s="22">
        <f>W9+W17</f>
        <v>33357.480589740117</v>
      </c>
      <c r="X7" s="22">
        <f>X9+X17</f>
        <v>20823.673929376593</v>
      </c>
      <c r="Y7" s="22">
        <f>Y9+Y17</f>
        <v>16774.352141410352</v>
      </c>
      <c r="Z7" s="22">
        <f>Z9+Z17</f>
        <v>15477.071141330303</v>
      </c>
      <c r="AA7" s="22">
        <f>AA9+AA17</f>
        <v>16454.2944559157</v>
      </c>
      <c r="AB7" s="22">
        <f>AB9+AB17</f>
        <v>41973.081106603524</v>
      </c>
      <c r="AC7" s="22">
        <f>SUM(Q7:AB7)</f>
        <v>331439.96209792036</v>
      </c>
      <c r="AD7" s="22">
        <f>AD9+AD17</f>
        <v>38627.629626360897</v>
      </c>
      <c r="AE7" s="22">
        <f>AE9+AE17</f>
        <v>23684.521537328135</v>
      </c>
      <c r="AF7" s="22">
        <f>AF9+AF17</f>
        <v>34725.826602372232</v>
      </c>
      <c r="AG7" s="22">
        <f>AG9+AG17</f>
        <v>21216.669978208112</v>
      </c>
      <c r="AH7" s="22">
        <f>AH9+AH17</f>
        <v>42297.139665172392</v>
      </c>
      <c r="AI7" s="22">
        <f>AI9+AI17</f>
        <v>68932.0837500739</v>
      </c>
      <c r="AJ7" s="22">
        <f>AJ9+AJ17</f>
        <v>63735.198894869951</v>
      </c>
      <c r="AK7" s="22">
        <f>AK9+AK17</f>
        <v>66063.43285832995</v>
      </c>
      <c r="AL7" s="22">
        <f>AL9+AL17</f>
        <v>18929.537714456921</v>
      </c>
      <c r="AM7" s="22">
        <f>AM9+AM17</f>
        <v>23765.205822094365</v>
      </c>
      <c r="AN7" s="22">
        <f>AN9+AN17</f>
        <v>33576.593921863838</v>
      </c>
      <c r="AO7" s="22">
        <f>AO9+AO17</f>
        <v>35288.844272534305</v>
      </c>
      <c r="AP7" s="22">
        <f>SUM(AD7:AO7)</f>
        <v>470842.68464366498</v>
      </c>
      <c r="AQ7" s="22">
        <f>AQ9+AQ17</f>
        <v>45658.235270427474</v>
      </c>
      <c r="AR7" s="22">
        <f>AR9+AR17</f>
        <v>39703.241277155161</v>
      </c>
      <c r="AS7" s="22">
        <f>AS9+AS17</f>
        <v>36053.419115267774</v>
      </c>
      <c r="AT7" s="22">
        <f>AT9+AT17</f>
        <v>104341.7060825354</v>
      </c>
      <c r="AU7" s="22">
        <f>AU9+AU17</f>
        <v>21279.483386614171</v>
      </c>
      <c r="AV7" s="22">
        <f>AV9+AV17</f>
        <v>36863.382271730654</v>
      </c>
      <c r="AW7" s="22">
        <f>AW9+AW17</f>
        <v>42327.058274834744</v>
      </c>
      <c r="AX7" s="22">
        <f>AX9+AX17</f>
        <v>49292.107935249252</v>
      </c>
      <c r="AY7" s="22">
        <f>AY9+AY17</f>
        <v>104757.82747806879</v>
      </c>
      <c r="AZ7" s="22">
        <f>AZ9+AZ17</f>
        <v>48411.02846241778</v>
      </c>
      <c r="BA7" s="22">
        <f>BA9+BA17</f>
        <v>22275.877045628007</v>
      </c>
      <c r="BB7" s="22">
        <v>49835.895848633743</v>
      </c>
      <c r="BC7" s="22">
        <f>SUM(AQ7:BB7)</f>
        <v>600799.26244856289</v>
      </c>
      <c r="BD7" s="22">
        <f>BD9+BD17</f>
        <v>36827.188796668452</v>
      </c>
      <c r="BE7" s="22">
        <f>BE9+BE17</f>
        <v>38979.410395655948</v>
      </c>
      <c r="BF7" s="22">
        <f>BF9+BF17</f>
        <v>48910.832299771449</v>
      </c>
      <c r="BG7" s="22">
        <f>BG9+BG17</f>
        <v>52738.946669926787</v>
      </c>
      <c r="BH7" s="22">
        <f>BH9+BH17</f>
        <v>42364.914208365204</v>
      </c>
      <c r="BI7" s="22">
        <f>BI9+BI17</f>
        <v>71658.654246356717</v>
      </c>
      <c r="BJ7" s="22">
        <f>BJ9+BJ17</f>
        <v>41908.562501881948</v>
      </c>
      <c r="BK7" s="22">
        <f>BK9+BK17</f>
        <v>26521.146387004923</v>
      </c>
      <c r="BL7" s="22">
        <f>BL9+BL17</f>
        <v>23831.116157984554</v>
      </c>
      <c r="BM7" s="22">
        <f>BM9+BM17</f>
        <v>27206.333882632483</v>
      </c>
      <c r="BN7" s="22">
        <f>BN9+BN17</f>
        <v>39963.70391058622</v>
      </c>
      <c r="BO7" s="22">
        <f>BO9+BO17</f>
        <v>38657.121834984609</v>
      </c>
      <c r="BP7" s="22">
        <f>SUM(BD7:BO7)</f>
        <v>489567.93129181932</v>
      </c>
      <c r="BQ7" s="22">
        <f>BQ9+BQ17</f>
        <v>41309.473182597503</v>
      </c>
      <c r="BR7" s="22">
        <f>BR9+BR17</f>
        <v>94975.886452669976</v>
      </c>
      <c r="BS7" s="22">
        <f>BS9+BS17</f>
        <v>28968.195403340003</v>
      </c>
      <c r="BT7" s="22">
        <f>BT9+BT17</f>
        <v>35829.529146510002</v>
      </c>
      <c r="BU7" s="22">
        <f>BU9+BU17</f>
        <v>31216.20195789</v>
      </c>
      <c r="BV7" s="22">
        <f>BV9+BV17</f>
        <v>85515.567340809997</v>
      </c>
      <c r="BW7" s="22">
        <f>BW9+BW17</f>
        <v>36335.350094189998</v>
      </c>
      <c r="BX7" s="22">
        <f>BX9+BX17</f>
        <v>39949.524271629998</v>
      </c>
      <c r="BY7" s="22">
        <f>BY9+BY17</f>
        <v>61874.516887869999</v>
      </c>
      <c r="BZ7" s="22">
        <f>BZ9+BZ17</f>
        <v>47963.070769470003</v>
      </c>
      <c r="CA7" s="22">
        <f>CA9+CA17</f>
        <v>30450.836615380009</v>
      </c>
      <c r="CB7" s="22">
        <f>CB9+CB17</f>
        <v>62196.705584360003</v>
      </c>
      <c r="CC7" s="22">
        <f>SUM(BQ7:CB7)</f>
        <v>596584.85770671745</v>
      </c>
      <c r="CD7" s="22">
        <f>CD9+CD17</f>
        <v>25576.761135289998</v>
      </c>
      <c r="CE7" s="22">
        <f>CE9+CE17</f>
        <v>23387.800489729998</v>
      </c>
      <c r="CF7" s="22">
        <f>CF9+CF17</f>
        <v>33127.19585411001</v>
      </c>
      <c r="CG7" s="22">
        <f>CG9+CG17</f>
        <v>39406.431305210004</v>
      </c>
      <c r="CH7" s="22">
        <f>CH9+CH17</f>
        <v>37856.204066130085</v>
      </c>
      <c r="CI7" s="22">
        <f>CI9+CI17</f>
        <v>61470.32028633001</v>
      </c>
      <c r="CJ7" s="22">
        <f>CJ9+CJ17</f>
        <v>38093.464938089994</v>
      </c>
      <c r="CK7" s="22">
        <f>CK9+CK17</f>
        <v>40330.19769945</v>
      </c>
      <c r="CL7" s="22">
        <f>CL9+CL17</f>
        <v>56019.226798829994</v>
      </c>
      <c r="CM7" s="22">
        <f>CM9+CM17</f>
        <v>40719.804474740005</v>
      </c>
      <c r="CN7" s="22">
        <f>CN9+CN17</f>
        <v>37063.051809503486</v>
      </c>
      <c r="CO7" s="22">
        <f>CO9+CO17</f>
        <v>45251.001760500003</v>
      </c>
      <c r="CP7" s="22">
        <f>+SUM(CD7:CO7)</f>
        <v>478301.46061791357</v>
      </c>
      <c r="CQ7" s="22">
        <f>CQ9+CQ17</f>
        <v>35316.826629894371</v>
      </c>
      <c r="CR7" s="22">
        <f>CR9+CR17</f>
        <v>27385.680430441058</v>
      </c>
      <c r="CS7" s="22">
        <f>CS9+CS17</f>
        <v>60063.635695140001</v>
      </c>
      <c r="CT7" s="22">
        <f>CT9+CT17</f>
        <v>45877.926553190002</v>
      </c>
      <c r="CU7" s="22">
        <f>CU9+CU17</f>
        <v>59243.596215320009</v>
      </c>
      <c r="CV7" s="22">
        <f>CV9+CV17</f>
        <v>66731.127313160003</v>
      </c>
      <c r="CW7" s="22">
        <f>CW9+CW17</f>
        <v>31343.331676160004</v>
      </c>
      <c r="CX7" s="22">
        <f>CX9+CX17</f>
        <v>52286.054037689995</v>
      </c>
      <c r="CY7" s="22">
        <f>CY9+CY17</f>
        <v>45183.652354952501</v>
      </c>
      <c r="CZ7" s="22">
        <f>CZ9+CZ17</f>
        <v>35739.293122080009</v>
      </c>
      <c r="DA7" s="22">
        <f>DA9+DA17</f>
        <v>39761.960316160003</v>
      </c>
      <c r="DB7" s="22">
        <f>DB9+DB17</f>
        <v>68206.542005540003</v>
      </c>
      <c r="DC7" s="22">
        <f>+SUM(CQ7:DB7)</f>
        <v>567139.62634972786</v>
      </c>
      <c r="DD7" s="22">
        <f>DD9+DD17</f>
        <v>52881.361284090002</v>
      </c>
      <c r="DE7" s="22">
        <f>DE9+DE17</f>
        <v>66373.323517269993</v>
      </c>
      <c r="DF7" s="22">
        <f>DF9+DF17</f>
        <v>147150.51430813997</v>
      </c>
      <c r="DG7" s="22">
        <f>DG9+DG17</f>
        <v>102213.98847568002</v>
      </c>
      <c r="DH7" s="22">
        <f>DH9+DH17</f>
        <v>86092.537952569997</v>
      </c>
      <c r="DI7" s="22">
        <f>DI9+DI17</f>
        <v>66578.041803119995</v>
      </c>
      <c r="DJ7" s="22">
        <f>DJ9+DJ17</f>
        <v>51243.146655720004</v>
      </c>
      <c r="DK7" s="22">
        <f>DK9+DK17</f>
        <v>66114.831992863939</v>
      </c>
      <c r="DL7" s="22">
        <f>DL9+DL17</f>
        <v>75453.442332249979</v>
      </c>
      <c r="DM7" s="22">
        <f>DM9+DM17</f>
        <v>37791.708078355005</v>
      </c>
      <c r="DN7" s="22">
        <f>DN9+DN17</f>
        <v>54821.738201919667</v>
      </c>
      <c r="DO7" s="22">
        <f>DO9+DO17</f>
        <v>50655.73731597</v>
      </c>
      <c r="DP7" s="22">
        <f>+SUM(DD7:DO7)</f>
        <v>857370.37191794859</v>
      </c>
      <c r="DQ7" s="22">
        <f>DQ9+DQ17</f>
        <v>72073.737062369997</v>
      </c>
      <c r="DR7" s="22">
        <f>DR9+DR17</f>
        <v>55751.740543877182</v>
      </c>
      <c r="DS7" s="22">
        <f>DS9+DS17</f>
        <v>52213.373556371247</v>
      </c>
      <c r="DT7" s="22">
        <f>DT9+DT17</f>
        <v>52735.022282150028</v>
      </c>
      <c r="DU7" s="22">
        <f>DU9+DU17</f>
        <v>55803.414294787377</v>
      </c>
      <c r="DV7" s="22">
        <f>DV9+DV17</f>
        <v>64333.748056722296</v>
      </c>
      <c r="DW7" s="22">
        <f>DW9+DW17</f>
        <v>68684.48898367252</v>
      </c>
      <c r="DX7" s="22">
        <f>DX9+DX17</f>
        <v>66379.99991203034</v>
      </c>
      <c r="DY7" s="22">
        <f>DY9+DY17</f>
        <v>78341.810896880008</v>
      </c>
      <c r="DZ7" s="22">
        <f>DZ9+DZ17</f>
        <v>77415.640753957952</v>
      </c>
      <c r="EA7" s="22">
        <f>EA9+EA17</f>
        <v>39358.605525598396</v>
      </c>
      <c r="EB7" s="22">
        <f>EB9+EB17</f>
        <v>38799.935038999298</v>
      </c>
      <c r="EC7" s="22">
        <f>+SUM(DQ7:EB7)</f>
        <v>721891.51690741663</v>
      </c>
      <c r="ED7" s="22">
        <f>ED9+ED17</f>
        <v>70440.385337489308</v>
      </c>
      <c r="EE7" s="22">
        <f>EE9+EE17</f>
        <v>75641.630933067194</v>
      </c>
      <c r="EF7" s="22">
        <f>EF9+EF17</f>
        <v>80374.273170836721</v>
      </c>
      <c r="EG7" s="22">
        <f>EG9+EG17</f>
        <v>62052.272157349667</v>
      </c>
      <c r="EH7" s="22">
        <f>EH9+EH17</f>
        <v>46788.722130175542</v>
      </c>
      <c r="EI7" s="22">
        <f>EI9+EI17</f>
        <v>74102.799261702312</v>
      </c>
      <c r="EJ7" s="22">
        <f>EJ9+EJ17</f>
        <v>65053.959889584075</v>
      </c>
      <c r="EK7" s="22">
        <f>EK9+EK17</f>
        <v>51059.700870743509</v>
      </c>
      <c r="EL7" s="22">
        <f>EL9+EL17</f>
        <v>56726.180737140123</v>
      </c>
      <c r="EM7" s="22">
        <f>EM9+EM17</f>
        <v>66593.966329848554</v>
      </c>
      <c r="EN7" s="22">
        <f>EN9+EN17</f>
        <v>48607.400209523883</v>
      </c>
      <c r="EO7" s="22">
        <f>EO9+EO17</f>
        <v>39031.534287706505</v>
      </c>
      <c r="EP7" s="22">
        <f>+SUM(ED7:EO7)</f>
        <v>736472.82531516731</v>
      </c>
      <c r="EQ7" s="22">
        <f>EQ9+EQ17</f>
        <v>56813.842576239091</v>
      </c>
      <c r="ER7" s="22">
        <f>ER9+ER17</f>
        <v>47090.355921310002</v>
      </c>
      <c r="ES7" s="22">
        <f>ES9+ES17</f>
        <v>77636.801841607303</v>
      </c>
      <c r="ET7" s="22">
        <f>ET9+ET17</f>
        <v>92152.919104007087</v>
      </c>
      <c r="EU7" s="22">
        <f>EU9+EU17</f>
        <v>35335.558581496814</v>
      </c>
      <c r="EV7" s="22">
        <f>EV9+EV17</f>
        <v>22558.929015781829</v>
      </c>
      <c r="EW7" s="22">
        <f>EW9+EW17</f>
        <v>58831.588782299099</v>
      </c>
      <c r="EX7" s="22">
        <f>EX9+EX17</f>
        <v>75634.074450454456</v>
      </c>
      <c r="EY7" s="22">
        <f>EY9+EY17</f>
        <v>57638.584752230629</v>
      </c>
      <c r="EZ7" s="22">
        <f>EZ9+EZ17</f>
        <v>57007.592634024419</v>
      </c>
      <c r="FA7" s="22">
        <f>FA9+FA17</f>
        <v>52013.976520940603</v>
      </c>
      <c r="FB7" s="22">
        <f>FB9+FB17</f>
        <v>32009.31688255709</v>
      </c>
      <c r="FC7" s="22">
        <f>+SUM(EQ7:FB7)</f>
        <v>664723.54106294841</v>
      </c>
      <c r="FD7" s="22">
        <f>FD9+FD17</f>
        <v>61781.353484949868</v>
      </c>
      <c r="FE7" s="22">
        <f>FE9+FE17</f>
        <v>55142.941835306388</v>
      </c>
      <c r="FF7" s="22">
        <f>FF9+FF17</f>
        <v>77679.231777741501</v>
      </c>
      <c r="FG7" s="22">
        <f>FG9+FG17</f>
        <v>56545.454363764147</v>
      </c>
      <c r="FH7" s="22">
        <f>FH9+FH17</f>
        <v>82849.301795774285</v>
      </c>
      <c r="FI7" s="22">
        <f>FI9+FI17</f>
        <v>71200.953111092022</v>
      </c>
      <c r="FJ7" s="22">
        <f>FJ9+FJ17</f>
        <v>69489.819640385263</v>
      </c>
      <c r="FK7" s="22">
        <f>FK9+FK17</f>
        <v>60635.169374664889</v>
      </c>
      <c r="FL7" s="22">
        <f>FL9+FL17</f>
        <v>65136.444426777089</v>
      </c>
      <c r="FM7" s="22">
        <f>FM9+FM17</f>
        <v>59427.213269706685</v>
      </c>
      <c r="FN7" s="22">
        <f>FN9+FN17</f>
        <v>67658.263313389994</v>
      </c>
      <c r="FO7" s="22">
        <f>FO9+FO17</f>
        <v>31714.460768030549</v>
      </c>
      <c r="FP7" s="22">
        <f>+SUM(FD7:FO7)</f>
        <v>759260.60716158268</v>
      </c>
      <c r="FQ7" s="22">
        <f>FQ9+FQ17</f>
        <v>63671.83214739665</v>
      </c>
      <c r="FR7" s="22">
        <f>FR9+FR17</f>
        <v>42889.948551859998</v>
      </c>
      <c r="FS7" s="22">
        <f>FS9+FS17</f>
        <v>21583.055746630002</v>
      </c>
      <c r="FT7" s="22">
        <f>FT9+FT17</f>
        <v>39029.428703546793</v>
      </c>
      <c r="FU7" s="22">
        <f>FU9+FU17</f>
        <v>86651.148952330783</v>
      </c>
      <c r="FV7" s="22">
        <f>FV9+FV17</f>
        <v>118782.86506102885</v>
      </c>
      <c r="FW7" s="22">
        <f>FW9+FW17</f>
        <v>156356.17992260831</v>
      </c>
      <c r="FX7" s="22">
        <f>FX9+FX17</f>
        <v>114102.32625338147</v>
      </c>
      <c r="FY7" s="22">
        <f>FY9+FY17</f>
        <v>155267.17555002557</v>
      </c>
      <c r="FZ7" s="22">
        <f>FZ9+FZ17</f>
        <v>173261.76343483999</v>
      </c>
      <c r="GA7" s="22">
        <f>GA9+GA17</f>
        <v>158818.55388468545</v>
      </c>
      <c r="GB7" s="22">
        <f>GB9+GB17</f>
        <v>198562.54706498067</v>
      </c>
      <c r="GC7" s="22">
        <f>+SUM(FQ7:GB7)</f>
        <v>1328976.8252733145</v>
      </c>
      <c r="GD7" s="22">
        <f>GD9+GD17</f>
        <v>155354.22633693999</v>
      </c>
      <c r="GE7" s="22">
        <f>GE9+GE17</f>
        <v>177968.32972094839</v>
      </c>
      <c r="GF7" s="22">
        <f>GF9+GF17</f>
        <v>164770.40692557499</v>
      </c>
      <c r="GG7" s="22">
        <f>GG9+GG17</f>
        <v>173670.62080713094</v>
      </c>
      <c r="GH7" s="22">
        <f>GH9+GH17</f>
        <v>156821.08492191078</v>
      </c>
      <c r="GI7" s="22">
        <f>GI9+GI17</f>
        <v>142143.52663382801</v>
      </c>
      <c r="GJ7" s="22">
        <f>GJ9+GJ17</f>
        <v>142443.41921692528</v>
      </c>
      <c r="GK7" s="22">
        <f>GK9+GK17</f>
        <v>72031.061403624888</v>
      </c>
      <c r="GL7" s="22">
        <f>GL9+GL17</f>
        <v>145930.22848412089</v>
      </c>
      <c r="GM7" s="22">
        <f>GM9+GM17</f>
        <v>146417.38991648002</v>
      </c>
      <c r="GN7" s="22">
        <f>GN9+GN17</f>
        <v>102915.87911892116</v>
      </c>
      <c r="GO7" s="22">
        <f>GO9+GO17</f>
        <v>76214.260169905145</v>
      </c>
      <c r="GP7" s="22">
        <f>+SUM(GD7:GO7)</f>
        <v>1656680.4336563107</v>
      </c>
      <c r="GQ7" s="22">
        <f>GQ9+GQ17</f>
        <v>119008.07017058754</v>
      </c>
      <c r="GR7" s="22">
        <f>GR9+GR17</f>
        <v>109005.75822262</v>
      </c>
      <c r="GS7" s="22">
        <f>GS9+GS17</f>
        <v>66976.696225343097</v>
      </c>
      <c r="GT7" s="22">
        <f>GT9+GT17</f>
        <v>88690.780690670013</v>
      </c>
      <c r="GU7" s="22">
        <f>GU9+GU17</f>
        <v>90295.788498331516</v>
      </c>
      <c r="GV7" s="22">
        <f>GV9+GV17</f>
        <v>71339.165063026216</v>
      </c>
      <c r="GW7" s="22">
        <f>GW9+GW17</f>
        <v>62430.080648855634</v>
      </c>
      <c r="GX7" s="22">
        <f>GX9+GX17</f>
        <v>143933.85336431413</v>
      </c>
      <c r="GY7" s="22">
        <f>GY9+GY17</f>
        <v>110059.09910403473</v>
      </c>
      <c r="GZ7" s="22">
        <f>GZ9+GZ17</f>
        <v>101410.04477157</v>
      </c>
      <c r="HA7" s="22">
        <f>HA9+HA17</f>
        <v>67089.936829219994</v>
      </c>
      <c r="HB7" s="22">
        <f>HB9+HB17</f>
        <v>31792.071427269995</v>
      </c>
      <c r="HC7" s="22">
        <f>+SUM(GQ7:HB7)</f>
        <v>1062031.3450158429</v>
      </c>
      <c r="HD7" s="22">
        <f>HD9+HD17</f>
        <v>84563.432730920002</v>
      </c>
      <c r="HE7" s="22">
        <f>HE9+HE17</f>
        <v>61419.335986269994</v>
      </c>
      <c r="HF7" s="22">
        <f>HF9+HF17</f>
        <v>168700.31707599998</v>
      </c>
      <c r="HG7" s="22">
        <f>HG9+HG17</f>
        <v>127585.64520427999</v>
      </c>
      <c r="HH7" s="22">
        <f>HH9+HH17</f>
        <v>139916.54994594</v>
      </c>
      <c r="HI7" s="22">
        <f>HI9+HI17</f>
        <v>151306.30285012</v>
      </c>
      <c r="HJ7" s="22">
        <f>HJ9+HJ17</f>
        <v>134460.22403200998</v>
      </c>
      <c r="HK7" s="22">
        <f>HK9+HK17</f>
        <v>93639.477242740002</v>
      </c>
      <c r="HL7" s="22">
        <f>HL9+HL17</f>
        <v>79704.964543310009</v>
      </c>
      <c r="HM7" s="22">
        <f>HM9+HM17</f>
        <v>72707.734935929999</v>
      </c>
      <c r="HN7" s="22">
        <f>HN9+HN17</f>
        <v>133985.82913897</v>
      </c>
      <c r="HO7" s="22">
        <f>HO9+HO17</f>
        <v>145160.37888863997</v>
      </c>
      <c r="HP7" s="22">
        <f>+SUM(HD7:HO7)</f>
        <v>1393150.1925751297</v>
      </c>
      <c r="HQ7" s="22">
        <f>HQ9+HQ17</f>
        <v>185335.59062445001</v>
      </c>
      <c r="HR7" s="22">
        <f>HR9+HR17</f>
        <v>126004.59434949</v>
      </c>
      <c r="HS7" s="22">
        <f>HS9+HS17</f>
        <v>168718.96634777001</v>
      </c>
      <c r="HT7" s="22">
        <f>HT9+HT17</f>
        <v>133819.20476464002</v>
      </c>
      <c r="HU7" s="22">
        <f>HU9+HU17</f>
        <v>172253.68248535998</v>
      </c>
      <c r="HV7" s="22">
        <f>HV9+HV17</f>
        <v>94540.865871050002</v>
      </c>
      <c r="HW7" s="22">
        <f>HW9+HW17</f>
        <v>139597.78647795002</v>
      </c>
      <c r="HX7" s="22">
        <f>HX9+HX17</f>
        <v>107886.40228039</v>
      </c>
      <c r="HY7" s="22">
        <f>HY9+HY17</f>
        <v>113364.37856948002</v>
      </c>
      <c r="HZ7" s="22">
        <f>HZ9+HZ17</f>
        <v>109798.30137360998</v>
      </c>
      <c r="IA7" s="22">
        <f>IA9+IA17</f>
        <v>83279.402301109993</v>
      </c>
      <c r="IB7" s="22">
        <f>IB9+IB17</f>
        <v>57873.394833799997</v>
      </c>
      <c r="IC7" s="22">
        <f>+SUM(HQ7:IB7)</f>
        <v>1492472.5702791002</v>
      </c>
      <c r="ID7" s="22">
        <f>ID9+ID17</f>
        <v>145514.19216270003</v>
      </c>
      <c r="IE7" s="22">
        <f>IE9+IE17</f>
        <v>204403.477678</v>
      </c>
      <c r="IF7" s="22">
        <f>IF9+IF17</f>
        <v>133149.24613287</v>
      </c>
      <c r="IG7" s="22">
        <f>IG9+IG17</f>
        <v>204628.23941542997</v>
      </c>
      <c r="IH7" s="22">
        <f>IH9+IH17</f>
        <v>158506.87014357001</v>
      </c>
      <c r="II7" s="22">
        <f>II9+II17</f>
        <v>177094.65784763999</v>
      </c>
      <c r="IJ7" s="22">
        <f>IJ9+IJ17</f>
        <v>118442.72674885001</v>
      </c>
      <c r="IK7" s="22">
        <f>IK9+IK17</f>
        <v>175692.22609985</v>
      </c>
      <c r="IL7" s="22">
        <f>IL9+IL17</f>
        <v>174953.96426661001</v>
      </c>
      <c r="IM7" s="22">
        <f>IM9+IM17</f>
        <v>162750.73783475001</v>
      </c>
      <c r="IN7" s="22">
        <f>IN9+IN17</f>
        <v>181484.15421578</v>
      </c>
      <c r="IO7" s="22">
        <f>IO9+IO17</f>
        <v>65813.646362989995</v>
      </c>
      <c r="IP7" s="22">
        <f>+SUM(ID7:IO7)</f>
        <v>1902434.13890904</v>
      </c>
      <c r="IQ7" s="22">
        <f>IQ9+IQ17</f>
        <v>147174.19204352002</v>
      </c>
      <c r="IR7" s="22">
        <f>IR9+IR17</f>
        <v>166803.52212067999</v>
      </c>
      <c r="IS7" s="22">
        <f>IS9+IS17</f>
        <v>93296.342253439987</v>
      </c>
      <c r="IT7" s="22">
        <f>IT9+IT17</f>
        <v>229960.98977858003</v>
      </c>
      <c r="IU7" s="22">
        <f>IU9+IU17</f>
        <v>166269.59995838001</v>
      </c>
      <c r="IV7" s="22">
        <f>IV9+IV17</f>
        <v>149587.34600774999</v>
      </c>
      <c r="IW7" s="22">
        <f>IW9+IW17</f>
        <v>198148.38757188997</v>
      </c>
      <c r="IX7" s="22">
        <f>IX9+IX17</f>
        <v>211618.89244503001</v>
      </c>
      <c r="IY7" s="22">
        <f>+SUM(IQ7:IX7)</f>
        <v>1362859.2721792699</v>
      </c>
      <c r="IZ7" s="47"/>
      <c r="JA7" s="43"/>
    </row>
    <row r="8" spans="1:262" s="11" customFormat="1" ht="12" customHeight="1" x14ac:dyDescent="0.25">
      <c r="A8" s="46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JA8" s="44"/>
      <c r="JB8" s="44"/>
    </row>
    <row r="9" spans="1:262" s="21" customFormat="1" ht="20.100000000000001" customHeight="1" x14ac:dyDescent="0.25">
      <c r="A9" s="34" t="s">
        <v>26</v>
      </c>
      <c r="B9" s="32">
        <v>60853.482486470006</v>
      </c>
      <c r="C9" s="32">
        <v>34518.092224100008</v>
      </c>
      <c r="D9" s="32">
        <v>50912.316744710006</v>
      </c>
      <c r="E9" s="32">
        <v>40697.478914259998</v>
      </c>
      <c r="F9" s="32">
        <v>52327.638437060006</v>
      </c>
      <c r="G9" s="32">
        <v>53067.66915432</v>
      </c>
      <c r="H9" s="32">
        <v>51497.832236919996</v>
      </c>
      <c r="I9" s="32">
        <v>61167.843734033704</v>
      </c>
      <c r="J9" s="32">
        <v>29169.410317520003</v>
      </c>
      <c r="K9" s="32">
        <v>18562.906061541413</v>
      </c>
      <c r="L9" s="32">
        <v>42703.484568411426</v>
      </c>
      <c r="M9" s="32">
        <f>SUM(M10:M15)</f>
        <v>44790.179901770003</v>
      </c>
      <c r="N9" s="32">
        <f>SUM(N10:N15)</f>
        <v>29692.967972220002</v>
      </c>
      <c r="O9" s="32">
        <f>SUM(O10:O15)</f>
        <v>28827.55924834</v>
      </c>
      <c r="P9" s="33">
        <f>SUM(D9:O9)</f>
        <v>503417.28729110659</v>
      </c>
      <c r="Q9" s="32">
        <f>SUM(Q10:Q15)</f>
        <v>28646.811138840003</v>
      </c>
      <c r="R9" s="32">
        <f>SUM(R10:R15)</f>
        <v>49621.445704650003</v>
      </c>
      <c r="S9" s="32">
        <f>SUM(S10:S15)</f>
        <v>32276.945560740001</v>
      </c>
      <c r="T9" s="32">
        <f>SUM(T10:T15)</f>
        <v>27042.06674111</v>
      </c>
      <c r="U9" s="32">
        <f>SUM(U10:U15)</f>
        <v>22877.11455151</v>
      </c>
      <c r="V9" s="32">
        <f>SUM(V10:V15)</f>
        <v>24532.837297550002</v>
      </c>
      <c r="W9" s="32">
        <f>SUM(W10:W15)</f>
        <v>33273.937999630005</v>
      </c>
      <c r="X9" s="32">
        <f>SUM(X10:X15)</f>
        <v>20808.364082150001</v>
      </c>
      <c r="Y9" s="32">
        <f>SUM(Y10:Y15)</f>
        <v>16731.78121524</v>
      </c>
      <c r="Z9" s="32">
        <f>SUM(Z10:Z15)</f>
        <v>15413.790998129998</v>
      </c>
      <c r="AA9" s="32">
        <f>SUM(AA10:AA15)</f>
        <v>16441.90789911</v>
      </c>
      <c r="AB9" s="32">
        <f>SUM(AB10:AB15)</f>
        <v>41562.095263070005</v>
      </c>
      <c r="AC9" s="33">
        <f>SUM(Q9:AB9)</f>
        <v>329229.09845173004</v>
      </c>
      <c r="AD9" s="32">
        <f>SUM(AD10:AD15)</f>
        <v>36319.446184460001</v>
      </c>
      <c r="AE9" s="32">
        <f>SUM(AE10:AE15)</f>
        <v>23668.591821049999</v>
      </c>
      <c r="AF9" s="32">
        <f>SUM(AF10:AF15)</f>
        <v>34701.701121220001</v>
      </c>
      <c r="AG9" s="32">
        <f>SUM(AG10:AG15)</f>
        <v>21182.479500770005</v>
      </c>
      <c r="AH9" s="32">
        <f>SUM(AH10:AH15)</f>
        <v>40643.099240460004</v>
      </c>
      <c r="AI9" s="32">
        <f>SUM(AI10:AI15)</f>
        <v>68894.827405210002</v>
      </c>
      <c r="AJ9" s="32">
        <f>SUM(AJ10:AJ15)</f>
        <v>63719.773444480001</v>
      </c>
      <c r="AK9" s="32">
        <f>SUM(AK10:AK15)</f>
        <v>64992.253717320011</v>
      </c>
      <c r="AL9" s="32">
        <f>SUM(AL10:AL15)</f>
        <v>18903.079457260003</v>
      </c>
      <c r="AM9" s="32">
        <f>SUM(AM10:AM15)</f>
        <v>21546.916134670002</v>
      </c>
      <c r="AN9" s="32">
        <f>SUM(AN10:AN15)</f>
        <v>33565.766460979998</v>
      </c>
      <c r="AO9" s="32">
        <f>SUM(AO10:AO15)</f>
        <v>34027.89756985</v>
      </c>
      <c r="AP9" s="33">
        <f>SUM(AD9:AO9)</f>
        <v>462165.83205773006</v>
      </c>
      <c r="AQ9" s="32">
        <f>SUM(AQ10:AQ15)</f>
        <v>45649.386593449999</v>
      </c>
      <c r="AR9" s="32">
        <f>SUM(AR10:AR15)</f>
        <v>39690.170005009997</v>
      </c>
      <c r="AS9" s="32">
        <f>SUM(AS10:AS15)</f>
        <v>36041.231360570004</v>
      </c>
      <c r="AT9" s="32">
        <f>SUM(AT10:AT15)</f>
        <v>102932.94059182999</v>
      </c>
      <c r="AU9" s="32">
        <f>SUM(AU10:AU15)</f>
        <v>21269.856391944413</v>
      </c>
      <c r="AV9" s="32">
        <f>SUM(AV10:AV15)</f>
        <v>35265.061787480001</v>
      </c>
      <c r="AW9" s="32">
        <f>SUM(AW10:AW15)</f>
        <v>42310.284768619997</v>
      </c>
      <c r="AX9" s="32">
        <f>SUM(AX10:AX15)</f>
        <v>47790.498910529997</v>
      </c>
      <c r="AY9" s="32">
        <f>SUM(AY10:AY15)</f>
        <v>103714.1220035</v>
      </c>
      <c r="AZ9" s="32">
        <f>SUM(AZ10:AZ15)</f>
        <v>47106.092334079993</v>
      </c>
      <c r="BA9" s="32">
        <f>SUM(BA10:BA15)</f>
        <v>21895.603976729999</v>
      </c>
      <c r="BB9" s="32">
        <v>48097.698005069993</v>
      </c>
      <c r="BC9" s="33">
        <f>SUM(AQ9:BB9)</f>
        <v>591762.94672881439</v>
      </c>
      <c r="BD9" s="32">
        <f>SUM(BD10:BD15)</f>
        <v>36820.675581390002</v>
      </c>
      <c r="BE9" s="32">
        <f>SUM(BE10:BE15)</f>
        <v>38966.344948140002</v>
      </c>
      <c r="BF9" s="32">
        <f>SUM(BF10:BF15)</f>
        <v>48899.982593830005</v>
      </c>
      <c r="BG9" s="32">
        <f>SUM(BG10:BG15)</f>
        <v>52738.673978649997</v>
      </c>
      <c r="BH9" s="32">
        <f>SUM(BH10:BH15)</f>
        <v>42274.761272340002</v>
      </c>
      <c r="BI9" s="32">
        <f>SUM(BI10:BI15)</f>
        <v>71171.352261619992</v>
      </c>
      <c r="BJ9" s="32">
        <f>SUM(BJ10:BJ15)</f>
        <v>40952.069021930009</v>
      </c>
      <c r="BK9" s="32">
        <f>SUM(BK10:BK15)</f>
        <v>26503.754041240001</v>
      </c>
      <c r="BL9" s="32">
        <f>SUM(BL10:BL15)</f>
        <v>23778.39663612</v>
      </c>
      <c r="BM9" s="32">
        <f>SUM(BM10:BM15)</f>
        <v>27179.431391660004</v>
      </c>
      <c r="BN9" s="32">
        <f>SUM(BN10:BN15)</f>
        <v>37227.764965390001</v>
      </c>
      <c r="BO9" s="32">
        <f>SUM(BO10:BO15)</f>
        <v>38368.976703150001</v>
      </c>
      <c r="BP9" s="33">
        <f>SUM(BD9:BO9)</f>
        <v>484882.18339545996</v>
      </c>
      <c r="BQ9" s="32">
        <f>SUM(BQ10:BQ15)</f>
        <v>39558.812998200003</v>
      </c>
      <c r="BR9" s="32">
        <f>SUM(BR10:BR15)</f>
        <v>94968.731331329982</v>
      </c>
      <c r="BS9" s="32">
        <f>SUM(BS10:BS15)</f>
        <v>28952.109489190003</v>
      </c>
      <c r="BT9" s="32">
        <f>SUM(BT10:BT15)</f>
        <v>32696.21068651</v>
      </c>
      <c r="BU9" s="32">
        <f>SUM(BU10:BU15)</f>
        <v>31106.729464429998</v>
      </c>
      <c r="BV9" s="32">
        <f>SUM(BV10:BV15)</f>
        <v>85355.221310299996</v>
      </c>
      <c r="BW9" s="32">
        <f>SUM(BW10:BW15)</f>
        <v>36156.343314170001</v>
      </c>
      <c r="BX9" s="32">
        <f>SUM(BX10:BX15)</f>
        <v>39847.130775599995</v>
      </c>
      <c r="BY9" s="32">
        <f>SUM(BY10:BY15)</f>
        <v>59044.421702510001</v>
      </c>
      <c r="BZ9" s="32">
        <f>SUM(BZ10:BZ15)</f>
        <v>47732.77690379</v>
      </c>
      <c r="CA9" s="32">
        <f>SUM(CA10:CA15)</f>
        <v>30069.662069120008</v>
      </c>
      <c r="CB9" s="32">
        <f>SUM(CB10:CB15)</f>
        <v>61441.927969550001</v>
      </c>
      <c r="CC9" s="33">
        <f>SUM(BQ9:CB9)</f>
        <v>586930.07801469998</v>
      </c>
      <c r="CD9" s="32">
        <f>SUM(CD10:CD15)</f>
        <v>25559.76032614</v>
      </c>
      <c r="CE9" s="32">
        <f>SUM(CE10:CE15)</f>
        <v>23387.279767379998</v>
      </c>
      <c r="CF9" s="32">
        <f>SUM(CF10:CF15)</f>
        <v>33117.92732539001</v>
      </c>
      <c r="CG9" s="32">
        <f>SUM(CG10:CG15)</f>
        <v>39112.828703700005</v>
      </c>
      <c r="CH9" s="32">
        <f>SUM(CH10:CH15)</f>
        <v>36128.85648373</v>
      </c>
      <c r="CI9" s="32">
        <f>SUM(CI10:CI15)</f>
        <v>61439.750575740007</v>
      </c>
      <c r="CJ9" s="32">
        <f>SUM(CJ10:CJ15)</f>
        <v>37309.69791088999</v>
      </c>
      <c r="CK9" s="32">
        <f>SUM(CK10:CK15)</f>
        <v>40242.789091910003</v>
      </c>
      <c r="CL9" s="32">
        <f>SUM(CL10:CL15)</f>
        <v>55974.062583489991</v>
      </c>
      <c r="CM9" s="32">
        <f>SUM(CM10:CM15)</f>
        <v>40535.710100570002</v>
      </c>
      <c r="CN9" s="32">
        <f>SUM(CN10:CN15)</f>
        <v>29715.464494943488</v>
      </c>
      <c r="CO9" s="32">
        <f>SUM(CO10:CO15)</f>
        <v>45182.496106360006</v>
      </c>
      <c r="CP9" s="33">
        <f>+SUM(CD9:CO9)</f>
        <v>467706.62347024347</v>
      </c>
      <c r="CQ9" s="32">
        <f>SUM(CQ10:CQ15)</f>
        <v>34700.995842474375</v>
      </c>
      <c r="CR9" s="32">
        <f>SUM(CR10:CR15)</f>
        <v>27170.612435661056</v>
      </c>
      <c r="CS9" s="32">
        <f>SUM(CS10:CS15)</f>
        <v>59947.261737549998</v>
      </c>
      <c r="CT9" s="32">
        <f>SUM(CT10:CT15)</f>
        <v>42747.289213190001</v>
      </c>
      <c r="CU9" s="32">
        <f>SUM(CU10:CU15)</f>
        <v>59105.87961347001</v>
      </c>
      <c r="CV9" s="32">
        <f>SUM(CV10:CV15)</f>
        <v>66690.750771160005</v>
      </c>
      <c r="CW9" s="32">
        <f>SUM(CW10:CW15)</f>
        <v>31296.037990390003</v>
      </c>
      <c r="CX9" s="32">
        <f>SUM(CX10:CX15)</f>
        <v>44439.457866809993</v>
      </c>
      <c r="CY9" s="32">
        <f>SUM(CY10:CY15)</f>
        <v>42665.399820890001</v>
      </c>
      <c r="CZ9" s="32">
        <f>SUM(CZ10:CZ15)</f>
        <v>35588.984147140007</v>
      </c>
      <c r="DA9" s="32">
        <f>SUM(DA10:DA15)</f>
        <v>39739.868174650001</v>
      </c>
      <c r="DB9" s="32">
        <f>SUM(DB10:DB15)</f>
        <v>68073.778643190002</v>
      </c>
      <c r="DC9" s="33">
        <f>+SUM(CQ9:DB9)</f>
        <v>552166.3162565754</v>
      </c>
      <c r="DD9" s="32">
        <f>SUM(DD10:DD15)</f>
        <v>52582.175609580001</v>
      </c>
      <c r="DE9" s="32">
        <f>SUM(DE10:DE15)</f>
        <v>66343.83747128</v>
      </c>
      <c r="DF9" s="32">
        <f>SUM(DF10:DF15)</f>
        <v>147140.94355904998</v>
      </c>
      <c r="DG9" s="32">
        <f>SUM(DG10:DG15)</f>
        <v>102202.78056309001</v>
      </c>
      <c r="DH9" s="32">
        <f>SUM(DH10:DH15)</f>
        <v>86092.537952569997</v>
      </c>
      <c r="DI9" s="32">
        <f>SUM(DI10:DI15)</f>
        <v>66496.41175341999</v>
      </c>
      <c r="DJ9" s="32">
        <f>SUM(DJ10:DJ15)</f>
        <v>51203.664590940003</v>
      </c>
      <c r="DK9" s="32">
        <f>SUM(DK10:DK15)</f>
        <v>66098.550494233932</v>
      </c>
      <c r="DL9" s="32">
        <f>SUM(DL10:DL15)</f>
        <v>75160.548893099985</v>
      </c>
      <c r="DM9" s="32">
        <f>SUM(DM10:DM15)</f>
        <v>37665.316527015006</v>
      </c>
      <c r="DN9" s="32">
        <f>SUM(DN10:DN15)</f>
        <v>54814.941075719667</v>
      </c>
      <c r="DO9" s="32">
        <f>SUM(DO10:DO15)</f>
        <v>50634.858315439997</v>
      </c>
      <c r="DP9" s="33">
        <f>+SUM(DD9:DO9)</f>
        <v>856436.56680543872</v>
      </c>
      <c r="DQ9" s="32">
        <f>SUM(DQ10:DQ15)</f>
        <v>70738.747557769995</v>
      </c>
      <c r="DR9" s="32">
        <f>SUM(DR10:DR15)</f>
        <v>55747.402559610004</v>
      </c>
      <c r="DS9" s="32">
        <f>SUM(DS10:DS15)</f>
        <v>46799.400394689997</v>
      </c>
      <c r="DT9" s="32">
        <f>SUM(DT10:DT15)</f>
        <v>52614.624922309995</v>
      </c>
      <c r="DU9" s="32">
        <f>SUM(DU10:DU15)</f>
        <v>55802.714759249997</v>
      </c>
      <c r="DV9" s="32">
        <f>SUM(DV10:DV15)</f>
        <v>64086.257142659997</v>
      </c>
      <c r="DW9" s="32">
        <f>SUM(DW10:DW15)</f>
        <v>63913.526408309997</v>
      </c>
      <c r="DX9" s="32">
        <f>SUM(DX10:DX15)</f>
        <v>66200.123912309995</v>
      </c>
      <c r="DY9" s="32">
        <f>SUM(DY10:DY15)</f>
        <v>78341.810896880008</v>
      </c>
      <c r="DZ9" s="32">
        <f>SUM(DZ10:DZ15)</f>
        <v>77388.593834889994</v>
      </c>
      <c r="EA9" s="32">
        <f>SUM(EA10:EA15)</f>
        <v>39322.001177339997</v>
      </c>
      <c r="EB9" s="32">
        <f>SUM(EB10:EB15)</f>
        <v>37809.629068039991</v>
      </c>
      <c r="EC9" s="33">
        <f>+SUM(DQ9:EB9)</f>
        <v>708764.83263406006</v>
      </c>
      <c r="ED9" s="32">
        <f>SUM(ED10:ED15)</f>
        <v>69944.025111700001</v>
      </c>
      <c r="EE9" s="32">
        <f>SUM(EE10:EE15)</f>
        <v>75617.670597529999</v>
      </c>
      <c r="EF9" s="32">
        <f>SUM(EF10:EF15)</f>
        <v>76563.581660120006</v>
      </c>
      <c r="EG9" s="32">
        <f>SUM(EG10:EG15)</f>
        <v>62047.424943440004</v>
      </c>
      <c r="EH9" s="32">
        <f>SUM(EH10:EH15)</f>
        <v>46750.767650549999</v>
      </c>
      <c r="EI9" s="32">
        <f>SUM(EI10:EI15)</f>
        <v>73588.318243409987</v>
      </c>
      <c r="EJ9" s="32">
        <f>SUM(EJ10:EJ15)</f>
        <v>64985.807614359997</v>
      </c>
      <c r="EK9" s="32">
        <f>SUM(EK10:EK15)</f>
        <v>50832.351516270006</v>
      </c>
      <c r="EL9" s="32">
        <f>SUM(EL10:EL15)</f>
        <v>56474.632535029996</v>
      </c>
      <c r="EM9" s="32">
        <f>SUM(EM10:EM15)</f>
        <v>57128.065203369995</v>
      </c>
      <c r="EN9" s="32">
        <f>SUM(EN10:EN15)</f>
        <v>48604.088825850005</v>
      </c>
      <c r="EO9" s="32">
        <f>SUM(EO10:EO15)</f>
        <v>38036.504198259994</v>
      </c>
      <c r="EP9" s="33">
        <f>+SUM(ED9:EO9)</f>
        <v>720573.23809989006</v>
      </c>
      <c r="EQ9" s="32">
        <f>SUM(EQ10:EQ15)</f>
        <v>51361.821205259992</v>
      </c>
      <c r="ER9" s="32">
        <f>SUM(ER10:ER15)</f>
        <v>47089.897561310005</v>
      </c>
      <c r="ES9" s="32">
        <f>SUM(ES10:ES15)</f>
        <v>77621.532005709989</v>
      </c>
      <c r="ET9" s="32">
        <f>SUM(ET10:ET15)</f>
        <v>92115.812774539983</v>
      </c>
      <c r="EU9" s="32">
        <f>SUM(EU10:EU15)</f>
        <v>35136.822795149994</v>
      </c>
      <c r="EV9" s="32">
        <f>SUM(EV10:EV15)</f>
        <v>22498.97382766</v>
      </c>
      <c r="EW9" s="32">
        <f>SUM(EW10:EW15)</f>
        <v>58809.837436360001</v>
      </c>
      <c r="EX9" s="32">
        <f>SUM(EX10:EX15)</f>
        <v>75474.875689760011</v>
      </c>
      <c r="EY9" s="32">
        <f>SUM(EY10:EY15)</f>
        <v>57383.458834630001</v>
      </c>
      <c r="EZ9" s="32">
        <f>SUM(EZ10:EZ15)</f>
        <v>56829.139924759998</v>
      </c>
      <c r="FA9" s="32">
        <f>SUM(FA10:FA15)</f>
        <v>51557.016047000012</v>
      </c>
      <c r="FB9" s="32">
        <f>SUM(FB10:FB15)</f>
        <v>31049.941046989999</v>
      </c>
      <c r="FC9" s="33">
        <f>+SUM(EQ9:FB9)</f>
        <v>656929.12914913008</v>
      </c>
      <c r="FD9" s="32">
        <f>SUM(FD10:FD15)</f>
        <v>61266.380307770007</v>
      </c>
      <c r="FE9" s="32">
        <f>SUM(FE10:FE15)</f>
        <v>55142.423646710005</v>
      </c>
      <c r="FF9" s="32">
        <f>SUM(FF10:FF15)</f>
        <v>71725.341484339995</v>
      </c>
      <c r="FG9" s="32">
        <f>SUM(FG10:FG15)</f>
        <v>56558.41064717</v>
      </c>
      <c r="FH9" s="32">
        <f>SUM(FH10:FH15)</f>
        <v>82846.715251220012</v>
      </c>
      <c r="FI9" s="32">
        <f>SUM(FI10:FI15)</f>
        <v>71129.06190678</v>
      </c>
      <c r="FJ9" s="32">
        <f>SUM(FJ10:FJ15)</f>
        <v>69444.40930816</v>
      </c>
      <c r="FK9" s="32">
        <f>SUM(FK10:FK15)</f>
        <v>60481.505846669999</v>
      </c>
      <c r="FL9" s="32">
        <f>SUM(FL10:FL15)</f>
        <v>65049.784507019998</v>
      </c>
      <c r="FM9" s="32">
        <f>SUM(FM10:FM15)</f>
        <v>59164.876101560003</v>
      </c>
      <c r="FN9" s="32">
        <f>SUM(FN10:FN15)</f>
        <v>54955.931953889994</v>
      </c>
      <c r="FO9" s="32">
        <f>SUM(FO10:FO15)</f>
        <v>30327.410964840001</v>
      </c>
      <c r="FP9" s="33">
        <f>+SUM(FD9:FO9)</f>
        <v>738092.25192613003</v>
      </c>
      <c r="FQ9" s="32">
        <f>SUM(FQ10:FQ15)</f>
        <v>63557.796989809998</v>
      </c>
      <c r="FR9" s="32">
        <f>SUM(FR10:FR15)</f>
        <v>42757.349417860001</v>
      </c>
      <c r="FS9" s="32">
        <f>SUM(FS10:FS15)</f>
        <v>21583.055746630002</v>
      </c>
      <c r="FT9" s="32">
        <f>SUM(FT10:FT15)</f>
        <v>38953.49135312999</v>
      </c>
      <c r="FU9" s="32">
        <f>SUM(FU10:FU15)</f>
        <v>86641.418613000016</v>
      </c>
      <c r="FV9" s="32">
        <f>SUM(FV10:FV15)</f>
        <v>101590.61732057</v>
      </c>
      <c r="FW9" s="32">
        <f>SUM(FW10:FW15)</f>
        <v>156320.79045684999</v>
      </c>
      <c r="FX9" s="32">
        <f>SUM(FX10:FX15)</f>
        <v>113789.53559738</v>
      </c>
      <c r="FY9" s="32">
        <f>SUM(FY10:FY15)</f>
        <v>155000.42743407001</v>
      </c>
      <c r="FZ9" s="32">
        <f>SUM(FZ10:FZ15)</f>
        <v>173261.76343483999</v>
      </c>
      <c r="GA9" s="32">
        <f>SUM(GA10:GA15)</f>
        <v>158650.41698899004</v>
      </c>
      <c r="GB9" s="32">
        <f>SUM(GB10:GB15)</f>
        <v>184442.32242488003</v>
      </c>
      <c r="GC9" s="33">
        <f>+SUM(FQ9:GB9)</f>
        <v>1296548.9857780102</v>
      </c>
      <c r="GD9" s="32">
        <f>SUM(GD10:GD15)</f>
        <v>155354.22633693999</v>
      </c>
      <c r="GE9" s="32">
        <f>SUM(GE10:GE15)</f>
        <v>170730.23570689</v>
      </c>
      <c r="GF9" s="32">
        <f>SUM(GF10:GF15)</f>
        <v>164524.41790932001</v>
      </c>
      <c r="GG9" s="32">
        <f>SUM(GG10:GG15)</f>
        <v>173457.70365359</v>
      </c>
      <c r="GH9" s="32">
        <f>SUM(GH10:GH15)</f>
        <v>156803.25655154997</v>
      </c>
      <c r="GI9" s="32">
        <f>SUM(GI10:GI15)</f>
        <v>135536.51271215998</v>
      </c>
      <c r="GJ9" s="32">
        <f>SUM(GJ10:GJ15)</f>
        <v>130517.27201721999</v>
      </c>
      <c r="GK9" s="32">
        <f>SUM(GK10:GK15)</f>
        <v>70692.165741549994</v>
      </c>
      <c r="GL9" s="32">
        <f>SUM(GL10:GL15)</f>
        <v>145777.28346669002</v>
      </c>
      <c r="GM9" s="32">
        <f>SUM(GM10:GM15)</f>
        <v>146417.38991648002</v>
      </c>
      <c r="GN9" s="32">
        <f>SUM(GN10:GN15)</f>
        <v>102773.39372579</v>
      </c>
      <c r="GO9" s="32">
        <f>SUM(GO10:GO15)</f>
        <v>75515.065871810002</v>
      </c>
      <c r="GP9" s="33">
        <f>+SUM(GD9:GO9)</f>
        <v>1628098.9236099902</v>
      </c>
      <c r="GQ9" s="32">
        <f>SUM(GQ10:GQ15)</f>
        <v>118960.52616177</v>
      </c>
      <c r="GR9" s="32">
        <f>SUM(GR10:GR15)</f>
        <v>108925.43822262</v>
      </c>
      <c r="GS9" s="32">
        <f>SUM(GS10:GS15)</f>
        <v>66971.057342</v>
      </c>
      <c r="GT9" s="32">
        <f>SUM(GT10:GT15)</f>
        <v>88690.780690670013</v>
      </c>
      <c r="GU9" s="32">
        <f>SUM(GU10:GU15)</f>
        <v>86061.99373105001</v>
      </c>
      <c r="GV9" s="32">
        <f>SUM(GV10:GV15)</f>
        <v>69958.46313074998</v>
      </c>
      <c r="GW9" s="32">
        <f>SUM(GW10:GW15)</f>
        <v>62229.967977450004</v>
      </c>
      <c r="GX9" s="32">
        <f>SUM(GX10:GX15)</f>
        <v>143445.61993795002</v>
      </c>
      <c r="GY9" s="32">
        <f>SUM(GY10:GY15)</f>
        <v>109948.68828177999</v>
      </c>
      <c r="GZ9" s="32">
        <f>SUM(GZ10:GZ15)</f>
        <v>101410.04477157</v>
      </c>
      <c r="HA9" s="32">
        <f>SUM(HA10:HA15)</f>
        <v>65156.774321779994</v>
      </c>
      <c r="HB9" s="32">
        <f>SUM(HB10:HB15)</f>
        <v>30796.263773139995</v>
      </c>
      <c r="HC9" s="33">
        <f>+SUM(GQ9:HB9)</f>
        <v>1052555.61834253</v>
      </c>
      <c r="HD9" s="32">
        <f>SUM(HD10:HD15)</f>
        <v>84466.613387310004</v>
      </c>
      <c r="HE9" s="32">
        <f>SUM(HE10:HE15)</f>
        <v>61419.335986269994</v>
      </c>
      <c r="HF9" s="32">
        <f>SUM(HF10:HF15)</f>
        <v>168593.84707599998</v>
      </c>
      <c r="HG9" s="32">
        <f>SUM(HG10:HG15)</f>
        <v>116507.54520427999</v>
      </c>
      <c r="HH9" s="32">
        <f>SUM(HH10:HH15)</f>
        <v>139774.73664105</v>
      </c>
      <c r="HI9" s="32">
        <f>SUM(HI10:HI15)</f>
        <v>151144.65297768</v>
      </c>
      <c r="HJ9" s="32">
        <f>SUM(HJ10:HJ15)</f>
        <v>134347.40674790999</v>
      </c>
      <c r="HK9" s="32">
        <f>SUM(HK10:HK15)</f>
        <v>93555.83801023</v>
      </c>
      <c r="HL9" s="32">
        <f>SUM(HL10:HL15)</f>
        <v>79682.210384530015</v>
      </c>
      <c r="HM9" s="32">
        <f>SUM(HM10:HM15)</f>
        <v>72223.545928740001</v>
      </c>
      <c r="HN9" s="32">
        <f>SUM(HN10:HN15)</f>
        <v>124019.15473627999</v>
      </c>
      <c r="HO9" s="32">
        <f>SUM(HO10:HO15)</f>
        <v>139555.20722716997</v>
      </c>
      <c r="HP9" s="33">
        <f>+SUM(HD9:HO9)</f>
        <v>1365290.0943074499</v>
      </c>
      <c r="HQ9" s="32">
        <f>SUM(HQ10:HQ15)</f>
        <v>163207.32732876</v>
      </c>
      <c r="HR9" s="32">
        <f>SUM(HR10:HR15)</f>
        <v>126004.59434949</v>
      </c>
      <c r="HS9" s="32">
        <f>SUM(HS10:HS15)</f>
        <v>168718.96634777001</v>
      </c>
      <c r="HT9" s="32">
        <f>SUM(HT10:HT15)</f>
        <v>133612.55669264001</v>
      </c>
      <c r="HU9" s="32">
        <f>SUM(HU10:HU15)</f>
        <v>172095.56868579998</v>
      </c>
      <c r="HV9" s="32">
        <f>SUM(HV10:HV15)</f>
        <v>83251.74085771</v>
      </c>
      <c r="HW9" s="32">
        <f>SUM(HW10:HW15)</f>
        <v>139519.72596229002</v>
      </c>
      <c r="HX9" s="32">
        <f>SUM(HX10:HX15)</f>
        <v>107552.76757163</v>
      </c>
      <c r="HY9" s="32">
        <f>SUM(HY10:HY15)</f>
        <v>113352.59611318001</v>
      </c>
      <c r="HZ9" s="32">
        <f>SUM(HZ10:HZ15)</f>
        <v>109793.83422344999</v>
      </c>
      <c r="IA9" s="32">
        <f>SUM(IA10:IA15)</f>
        <v>82981.157035559998</v>
      </c>
      <c r="IB9" s="32">
        <f>SUM(IB10:IB15)</f>
        <v>57057.867039049997</v>
      </c>
      <c r="IC9" s="33">
        <f>+SUM(HQ9:IB9)</f>
        <v>1457148.7022073301</v>
      </c>
      <c r="ID9" s="32">
        <f>SUM(ID10:ID15)</f>
        <v>145387.99447736001</v>
      </c>
      <c r="IE9" s="32">
        <f>SUM(IE10:IE15)</f>
        <v>189921.477678</v>
      </c>
      <c r="IF9" s="32">
        <f>SUM(IF10:IF15)</f>
        <v>133112.87837287001</v>
      </c>
      <c r="IG9" s="32">
        <f>SUM(IG10:IG15)</f>
        <v>204458.99522297998</v>
      </c>
      <c r="IH9" s="32">
        <f>SUM(IH10:IH15)</f>
        <v>158498.20978050001</v>
      </c>
      <c r="II9" s="32">
        <f>SUM(II10:II15)</f>
        <v>161306.37887275999</v>
      </c>
      <c r="IJ9" s="32">
        <f>SUM(IJ10:IJ15)</f>
        <v>118258.65652881001</v>
      </c>
      <c r="IK9" s="32">
        <f>SUM(IK10:IK15)</f>
        <v>175560.64105904999</v>
      </c>
      <c r="IL9" s="32">
        <f>SUM(IL10:IL15)</f>
        <v>157298.93045586001</v>
      </c>
      <c r="IM9" s="32">
        <f>SUM(IM10:IM15)</f>
        <v>162590.84582341</v>
      </c>
      <c r="IN9" s="32">
        <f>SUM(IN10:IN15)</f>
        <v>169184.84849342</v>
      </c>
      <c r="IO9" s="32">
        <f>SUM(IO10:IO15)</f>
        <v>65366.764883159994</v>
      </c>
      <c r="IP9" s="33">
        <f>+SUM(ID9:IO9)</f>
        <v>1840946.6216481798</v>
      </c>
      <c r="IQ9" s="32">
        <f>SUM(IQ10:IQ15)</f>
        <v>145868.6790533</v>
      </c>
      <c r="IR9" s="32">
        <f>SUM(IR10:IR15)</f>
        <v>143264.27682167999</v>
      </c>
      <c r="IS9" s="32">
        <f>SUM(IS10:IS15)</f>
        <v>93289.459723619992</v>
      </c>
      <c r="IT9" s="32">
        <f>SUM(IT10:IT15)</f>
        <v>201093.23577487003</v>
      </c>
      <c r="IU9" s="32">
        <f>SUM(IU10:IU15)</f>
        <v>166233.4403553</v>
      </c>
      <c r="IV9" s="32">
        <f>SUM(IV10:IV15)</f>
        <v>149490.09655029999</v>
      </c>
      <c r="IW9" s="32">
        <f>SUM(IW10:IW15)</f>
        <v>198137.20056526997</v>
      </c>
      <c r="IX9" s="32">
        <f>SUM(IX10:IX15)</f>
        <v>211489.22660967</v>
      </c>
      <c r="IY9" s="33">
        <f>+SUM(IQ9:IX9)</f>
        <v>1308865.61545401</v>
      </c>
      <c r="JA9" s="43"/>
    </row>
    <row r="10" spans="1:262" s="11" customFormat="1" ht="20.100000000000001" customHeight="1" x14ac:dyDescent="0.25">
      <c r="A10" s="20" t="s">
        <v>25</v>
      </c>
      <c r="B10" s="27">
        <v>41042.540295339997</v>
      </c>
      <c r="C10" s="27">
        <v>25810.897712420003</v>
      </c>
      <c r="D10" s="27">
        <v>39436.501978810003</v>
      </c>
      <c r="E10" s="27">
        <v>26037.893225309999</v>
      </c>
      <c r="F10" s="27">
        <v>41770.8562981</v>
      </c>
      <c r="G10" s="27">
        <v>38718.081232529999</v>
      </c>
      <c r="H10" s="27">
        <v>33897.955345199996</v>
      </c>
      <c r="I10" s="27">
        <v>44329.506729410001</v>
      </c>
      <c r="J10" s="27">
        <v>18813.724774090002</v>
      </c>
      <c r="K10" s="27">
        <v>11502.120282560001</v>
      </c>
      <c r="L10" s="27">
        <v>33269.649474919999</v>
      </c>
      <c r="M10" s="27">
        <v>32406.112769749998</v>
      </c>
      <c r="N10" s="27">
        <v>20668.679758570001</v>
      </c>
      <c r="O10" s="27">
        <v>15398.058022550002</v>
      </c>
      <c r="P10" s="28">
        <f>SUM(D10:O10)</f>
        <v>356249.1398918</v>
      </c>
      <c r="Q10" s="27">
        <v>23075.577407290002</v>
      </c>
      <c r="R10" s="27">
        <v>33008.96516955</v>
      </c>
      <c r="S10" s="27">
        <v>20705.93247014</v>
      </c>
      <c r="T10" s="27">
        <v>21798.194932090002</v>
      </c>
      <c r="U10" s="27">
        <v>16216.855419569998</v>
      </c>
      <c r="V10" s="27">
        <v>18628.158648640001</v>
      </c>
      <c r="W10" s="27">
        <v>20413.500596600003</v>
      </c>
      <c r="X10" s="27">
        <v>15553.4056987</v>
      </c>
      <c r="Y10" s="27">
        <v>7414.3548726500003</v>
      </c>
      <c r="Z10" s="27">
        <v>8881.0291839499987</v>
      </c>
      <c r="AA10" s="27">
        <v>12588.932655249999</v>
      </c>
      <c r="AB10" s="27">
        <v>19070.62572254</v>
      </c>
      <c r="AC10" s="28">
        <f>SUM(Q10:AB10)</f>
        <v>217355.53277696998</v>
      </c>
      <c r="AD10" s="27">
        <v>28190.653712130003</v>
      </c>
      <c r="AE10" s="27">
        <v>19037.529337309999</v>
      </c>
      <c r="AF10" s="27">
        <v>20180.512178229998</v>
      </c>
      <c r="AG10" s="27">
        <v>17704.833299180002</v>
      </c>
      <c r="AH10" s="27">
        <v>35229.651565640001</v>
      </c>
      <c r="AI10" s="27">
        <v>26311.689215330003</v>
      </c>
      <c r="AJ10" s="27">
        <v>33692.172629939996</v>
      </c>
      <c r="AK10" s="27">
        <v>16023.642042930001</v>
      </c>
      <c r="AL10" s="27">
        <v>14634.7803248</v>
      </c>
      <c r="AM10" s="27">
        <v>17612.395975980002</v>
      </c>
      <c r="AN10" s="27">
        <v>26418.629945209999</v>
      </c>
      <c r="AO10" s="27">
        <v>28272.197623460001</v>
      </c>
      <c r="AP10" s="28">
        <f>SUM(AD10:AO10)</f>
        <v>283308.68785014004</v>
      </c>
      <c r="AQ10" s="27">
        <v>40160.69186916</v>
      </c>
      <c r="AR10" s="27">
        <v>34388.512690689997</v>
      </c>
      <c r="AS10" s="27">
        <v>30044.337789910001</v>
      </c>
      <c r="AT10" s="27">
        <v>27343.912696499996</v>
      </c>
      <c r="AU10" s="27">
        <v>13392.562693799999</v>
      </c>
      <c r="AV10" s="27">
        <v>30707.148117309996</v>
      </c>
      <c r="AW10" s="27">
        <v>39965.938648299998</v>
      </c>
      <c r="AX10" s="27">
        <v>43124.439584849999</v>
      </c>
      <c r="AY10" s="27">
        <v>32686.233423489997</v>
      </c>
      <c r="AZ10" s="27">
        <v>44675.606304839996</v>
      </c>
      <c r="BA10" s="27">
        <v>19495.742952640001</v>
      </c>
      <c r="BB10" s="27">
        <v>22584.92144595</v>
      </c>
      <c r="BC10" s="28">
        <f>SUM(AQ10:BB10)</f>
        <v>378570.04821743997</v>
      </c>
      <c r="BD10" s="27">
        <v>33627.360278669999</v>
      </c>
      <c r="BE10" s="27">
        <v>31465.193211819998</v>
      </c>
      <c r="BF10" s="27">
        <v>36482.954317130003</v>
      </c>
      <c r="BG10" s="27">
        <v>47835.38242727</v>
      </c>
      <c r="BH10" s="27">
        <v>37214.192310120001</v>
      </c>
      <c r="BI10" s="27">
        <v>36450.131392939998</v>
      </c>
      <c r="BJ10" s="27">
        <v>36303.509454259998</v>
      </c>
      <c r="BK10" s="27">
        <v>21031.310714650001</v>
      </c>
      <c r="BL10" s="27">
        <v>21110.765873169999</v>
      </c>
      <c r="BM10" s="27">
        <v>21950.289059450002</v>
      </c>
      <c r="BN10" s="27">
        <v>26840.386551299998</v>
      </c>
      <c r="BO10" s="27">
        <v>17572.72658671</v>
      </c>
      <c r="BP10" s="28">
        <f>SUM(BD10:BO10)</f>
        <v>367884.20217748999</v>
      </c>
      <c r="BQ10" s="27">
        <v>25322.861658970003</v>
      </c>
      <c r="BR10" s="27">
        <v>25535.907031449999</v>
      </c>
      <c r="BS10" s="27">
        <v>26450.305715320002</v>
      </c>
      <c r="BT10" s="27">
        <v>28786.408220039997</v>
      </c>
      <c r="BU10" s="27">
        <v>27210.406133689998</v>
      </c>
      <c r="BV10" s="27">
        <v>22297.301731559997</v>
      </c>
      <c r="BW10" s="27">
        <v>32731.556854449998</v>
      </c>
      <c r="BX10" s="27">
        <v>24383.938385019999</v>
      </c>
      <c r="BY10" s="27">
        <v>31203.355507850003</v>
      </c>
      <c r="BZ10" s="27">
        <v>25629.476183140003</v>
      </c>
      <c r="CA10" s="27">
        <v>22621.257076100006</v>
      </c>
      <c r="CB10" s="27">
        <v>26064.015514070001</v>
      </c>
      <c r="CC10" s="28">
        <f>SUM(BQ10:CB10)</f>
        <v>318236.79001165996</v>
      </c>
      <c r="CD10" s="27">
        <v>22858.802815579998</v>
      </c>
      <c r="CE10" s="27">
        <v>21744.450042069999</v>
      </c>
      <c r="CF10" s="27">
        <v>28635.442526380004</v>
      </c>
      <c r="CG10" s="27">
        <v>36361.74833178</v>
      </c>
      <c r="CH10" s="27">
        <v>27440.66446236</v>
      </c>
      <c r="CI10" s="27">
        <v>34048.172970040003</v>
      </c>
      <c r="CJ10" s="27">
        <v>33521.38870571</v>
      </c>
      <c r="CK10" s="27">
        <v>32614.766754</v>
      </c>
      <c r="CL10" s="27">
        <v>52055.185462889996</v>
      </c>
      <c r="CM10" s="27">
        <v>36231.111715059997</v>
      </c>
      <c r="CN10" s="27">
        <v>26701.110766670001</v>
      </c>
      <c r="CO10" s="27">
        <v>15789.769096220001</v>
      </c>
      <c r="CP10" s="28">
        <f>+SUM(CD10:CO10)</f>
        <v>368002.61364876007</v>
      </c>
      <c r="CQ10" s="27">
        <v>31919.612186810005</v>
      </c>
      <c r="CR10" s="27">
        <v>25781.965392254522</v>
      </c>
      <c r="CS10" s="27">
        <v>57966.966145350001</v>
      </c>
      <c r="CT10" s="27">
        <v>41189.730723030007</v>
      </c>
      <c r="CU10" s="27">
        <v>56478.016083730006</v>
      </c>
      <c r="CV10" s="27">
        <v>35037.581067809995</v>
      </c>
      <c r="CW10" s="27">
        <v>28076.310734180002</v>
      </c>
      <c r="CX10" s="27">
        <v>41214.762061579997</v>
      </c>
      <c r="CY10" s="27">
        <v>39230.134920030003</v>
      </c>
      <c r="CZ10" s="27">
        <v>33424.663231960003</v>
      </c>
      <c r="DA10" s="27">
        <v>36970.060884220002</v>
      </c>
      <c r="DB10" s="27">
        <v>31096.2210184</v>
      </c>
      <c r="DC10" s="28">
        <f>+SUM(CQ10:DB10)</f>
        <v>458386.0244493545</v>
      </c>
      <c r="DD10" s="27">
        <v>48042.12650559</v>
      </c>
      <c r="DE10" s="27">
        <v>64710.093275179999</v>
      </c>
      <c r="DF10" s="27">
        <v>142572.07816616</v>
      </c>
      <c r="DG10" s="27">
        <v>100532.38591923</v>
      </c>
      <c r="DH10" s="27">
        <v>82599.530648899992</v>
      </c>
      <c r="DI10" s="27">
        <v>63830.859664559997</v>
      </c>
      <c r="DJ10" s="27">
        <v>47353.088156409998</v>
      </c>
      <c r="DK10" s="27">
        <v>63551.311374563942</v>
      </c>
      <c r="DL10" s="27">
        <v>73590.438539709998</v>
      </c>
      <c r="DM10" s="27">
        <v>32942.23560801</v>
      </c>
      <c r="DN10" s="27">
        <v>50874.659424050005</v>
      </c>
      <c r="DO10" s="27">
        <v>43136.003017259995</v>
      </c>
      <c r="DP10" s="28">
        <f>+SUM(DD10:DO10)</f>
        <v>813734.81029962387</v>
      </c>
      <c r="DQ10" s="27">
        <v>67377.233270779994</v>
      </c>
      <c r="DR10" s="27">
        <v>53730.3928265</v>
      </c>
      <c r="DS10" s="27">
        <v>44962.54171836</v>
      </c>
      <c r="DT10" s="27">
        <v>50102.422000129998</v>
      </c>
      <c r="DU10" s="27">
        <v>52646.532488340003</v>
      </c>
      <c r="DV10" s="27">
        <v>57419.845827319994</v>
      </c>
      <c r="DW10" s="27">
        <v>61429.983278450003</v>
      </c>
      <c r="DX10" s="27">
        <v>64640.293062379998</v>
      </c>
      <c r="DY10" s="27">
        <v>76664.6171072</v>
      </c>
      <c r="DZ10" s="27">
        <v>75267.009132979991</v>
      </c>
      <c r="EA10" s="27">
        <v>36480.359088949997</v>
      </c>
      <c r="EB10" s="27">
        <v>33453.900886329997</v>
      </c>
      <c r="EC10" s="28">
        <f>+SUM(DQ10:EB10)</f>
        <v>674175.13068771991</v>
      </c>
      <c r="ED10" s="27">
        <v>66200.533950969999</v>
      </c>
      <c r="EE10" s="27">
        <v>71957.580198800002</v>
      </c>
      <c r="EF10" s="27">
        <v>72900.904298230002</v>
      </c>
      <c r="EG10" s="27">
        <v>60525.855175820005</v>
      </c>
      <c r="EH10" s="27">
        <v>43782.615539529994</v>
      </c>
      <c r="EI10" s="27">
        <v>71441.104790259997</v>
      </c>
      <c r="EJ10" s="27">
        <v>63493.364564279997</v>
      </c>
      <c r="EK10" s="27">
        <v>48873.696542510006</v>
      </c>
      <c r="EL10" s="27">
        <v>55049.725390149993</v>
      </c>
      <c r="EM10" s="27">
        <v>55298.103301669995</v>
      </c>
      <c r="EN10" s="27">
        <v>43280.677747680005</v>
      </c>
      <c r="EO10" s="27">
        <v>32048.968597290001</v>
      </c>
      <c r="EP10" s="28">
        <f>+SUM(ED10:EO10)</f>
        <v>684853.13009719015</v>
      </c>
      <c r="EQ10" s="27">
        <v>49535.105566269995</v>
      </c>
      <c r="ER10" s="27">
        <v>45595.793545240005</v>
      </c>
      <c r="ES10" s="27">
        <v>76414.411864039997</v>
      </c>
      <c r="ET10" s="27">
        <v>91029.690309189988</v>
      </c>
      <c r="EU10" s="27">
        <v>32661.441240809996</v>
      </c>
      <c r="EV10" s="27">
        <v>20827.946068839999</v>
      </c>
      <c r="EW10" s="27">
        <v>56857.206804230002</v>
      </c>
      <c r="EX10" s="27">
        <v>73677.701983980005</v>
      </c>
      <c r="EY10" s="27">
        <v>55496.820192240004</v>
      </c>
      <c r="EZ10" s="27">
        <v>54128.057216749999</v>
      </c>
      <c r="FA10" s="27">
        <v>48227.356494130006</v>
      </c>
      <c r="FB10" s="27">
        <v>28849.664459719999</v>
      </c>
      <c r="FC10" s="28">
        <f>+SUM(EQ10:FB10)</f>
        <v>633301.19574543997</v>
      </c>
      <c r="FD10" s="27">
        <v>58321.396361420004</v>
      </c>
      <c r="FE10" s="27">
        <v>51954.732381070004</v>
      </c>
      <c r="FF10" s="27">
        <v>69325.965422959998</v>
      </c>
      <c r="FG10" s="27">
        <v>53915.449602170003</v>
      </c>
      <c r="FH10" s="27">
        <v>72586.59072687001</v>
      </c>
      <c r="FI10" s="27">
        <v>68079.601788500004</v>
      </c>
      <c r="FJ10" s="27">
        <v>66577.517029010007</v>
      </c>
      <c r="FK10" s="27">
        <v>56886.750227299999</v>
      </c>
      <c r="FL10" s="27">
        <v>61572.11942237</v>
      </c>
      <c r="FM10" s="27">
        <v>57082.946623990007</v>
      </c>
      <c r="FN10" s="27">
        <v>52867.991723429994</v>
      </c>
      <c r="FO10" s="27">
        <v>27811.23347906</v>
      </c>
      <c r="FP10" s="28">
        <f>+SUM(FD10:FO10)</f>
        <v>696982.29478815</v>
      </c>
      <c r="FQ10" s="27">
        <v>61143.261796089995</v>
      </c>
      <c r="FR10" s="27">
        <v>40141.925217050004</v>
      </c>
      <c r="FS10" s="27">
        <v>18049.12742479</v>
      </c>
      <c r="FT10" s="27">
        <v>35905.807562769995</v>
      </c>
      <c r="FU10" s="27">
        <v>84484.623534980012</v>
      </c>
      <c r="FV10" s="27">
        <v>99391.062369630003</v>
      </c>
      <c r="FW10" s="27">
        <v>153479.49346586998</v>
      </c>
      <c r="FX10" s="27">
        <v>111539.57345449</v>
      </c>
      <c r="FY10" s="27">
        <v>153115.20028781</v>
      </c>
      <c r="FZ10" s="27">
        <v>170465.31752613001</v>
      </c>
      <c r="GA10" s="27">
        <v>154914.34618227</v>
      </c>
      <c r="GB10" s="27">
        <v>181843.01417202002</v>
      </c>
      <c r="GC10" s="28">
        <f>+SUM(FQ10:GB10)</f>
        <v>1264472.7529938999</v>
      </c>
      <c r="GD10" s="27">
        <v>152932.64336402999</v>
      </c>
      <c r="GE10" s="27">
        <v>121370.4266263</v>
      </c>
      <c r="GF10" s="27">
        <v>139212.53488342001</v>
      </c>
      <c r="GG10" s="27">
        <v>171237.37555202999</v>
      </c>
      <c r="GH10" s="27">
        <v>154609.71836653</v>
      </c>
      <c r="GI10" s="27">
        <v>133140.98294866999</v>
      </c>
      <c r="GJ10" s="27">
        <v>127483.91731517999</v>
      </c>
      <c r="GK10" s="27">
        <v>67186.568458819995</v>
      </c>
      <c r="GL10" s="27">
        <v>141390.28596687003</v>
      </c>
      <c r="GM10" s="27">
        <v>142831.22894920001</v>
      </c>
      <c r="GN10" s="27">
        <v>95127.35997618</v>
      </c>
      <c r="GO10" s="27">
        <v>72034.212356119999</v>
      </c>
      <c r="GP10" s="28">
        <f>+SUM(GD10:GO10)</f>
        <v>1518557.2547633494</v>
      </c>
      <c r="GQ10" s="27">
        <v>113406.92934505</v>
      </c>
      <c r="GR10" s="27">
        <v>105705.63825161</v>
      </c>
      <c r="GS10" s="27">
        <v>62776.309806469995</v>
      </c>
      <c r="GT10" s="27">
        <v>85505.066692210006</v>
      </c>
      <c r="GU10" s="27">
        <v>81989.543478389998</v>
      </c>
      <c r="GV10" s="27">
        <v>65790.983905229994</v>
      </c>
      <c r="GW10" s="27">
        <v>57118.077551830007</v>
      </c>
      <c r="GX10" s="27">
        <v>137545.06228246001</v>
      </c>
      <c r="GY10" s="27">
        <v>106639.8483821</v>
      </c>
      <c r="GZ10" s="27">
        <v>98136.569047769997</v>
      </c>
      <c r="HA10" s="27">
        <v>60025.564894539995</v>
      </c>
      <c r="HB10" s="27">
        <v>26631.257603239996</v>
      </c>
      <c r="HC10" s="28">
        <f>+SUM(GQ10:HB10)</f>
        <v>1001270.8512409</v>
      </c>
      <c r="HD10" s="27">
        <v>79524.919196729999</v>
      </c>
      <c r="HE10" s="27">
        <v>57749.944484849999</v>
      </c>
      <c r="HF10" s="27">
        <v>156498.53152174997</v>
      </c>
      <c r="HG10" s="27">
        <v>112263.64378818999</v>
      </c>
      <c r="HH10" s="27">
        <v>135376.47975090001</v>
      </c>
      <c r="HI10" s="27">
        <v>146754.74747166003</v>
      </c>
      <c r="HJ10" s="27">
        <v>130093.59781376</v>
      </c>
      <c r="HK10" s="27">
        <v>88507.977407450002</v>
      </c>
      <c r="HL10" s="27">
        <v>76425.457437280013</v>
      </c>
      <c r="HM10" s="27">
        <v>65526.324682400002</v>
      </c>
      <c r="HN10" s="27">
        <v>120905.16608379</v>
      </c>
      <c r="HO10" s="27">
        <v>133676.90538373997</v>
      </c>
      <c r="HP10" s="28">
        <f>+SUM(HD10:HO10)</f>
        <v>1303303.6950225001</v>
      </c>
      <c r="HQ10" s="27">
        <v>159286.86544724999</v>
      </c>
      <c r="HR10" s="27">
        <v>114014.31672967999</v>
      </c>
      <c r="HS10" s="27">
        <v>164230.8141593</v>
      </c>
      <c r="HT10" s="27">
        <v>126172.00744539</v>
      </c>
      <c r="HU10" s="27">
        <v>159131.86664552</v>
      </c>
      <c r="HV10" s="27">
        <v>70412.133109789997</v>
      </c>
      <c r="HW10" s="27">
        <v>132118.85207000002</v>
      </c>
      <c r="HX10" s="27">
        <v>99434.406521700002</v>
      </c>
      <c r="HY10" s="27">
        <v>105907.96992175002</v>
      </c>
      <c r="HZ10" s="27">
        <v>104072.48426008999</v>
      </c>
      <c r="IA10" s="27">
        <v>77050.990757649997</v>
      </c>
      <c r="IB10" s="27">
        <v>43407.049976199996</v>
      </c>
      <c r="IC10" s="28">
        <f>+SUM(HQ10:IB10)</f>
        <v>1355239.7570443202</v>
      </c>
      <c r="ID10" s="27">
        <v>135152.18683139002</v>
      </c>
      <c r="IE10" s="27">
        <v>182218.41997706</v>
      </c>
      <c r="IF10" s="27">
        <v>119546.24846509002</v>
      </c>
      <c r="IG10" s="27">
        <v>193205.95304321998</v>
      </c>
      <c r="IH10" s="27">
        <v>147921.26653682999</v>
      </c>
      <c r="II10" s="27">
        <v>152132.02786510999</v>
      </c>
      <c r="IJ10" s="27">
        <v>109810.96345029</v>
      </c>
      <c r="IK10" s="27">
        <v>164486.93987025999</v>
      </c>
      <c r="IL10" s="27">
        <v>150063.47409275002</v>
      </c>
      <c r="IM10" s="27">
        <v>154947.07480818999</v>
      </c>
      <c r="IN10" s="27">
        <v>162056.80557256</v>
      </c>
      <c r="IO10" s="27">
        <v>55455.518461369997</v>
      </c>
      <c r="IP10" s="28">
        <f>+SUM(ID10:IO10)</f>
        <v>1726996.8789741201</v>
      </c>
      <c r="IQ10" s="27">
        <v>133355.74785119999</v>
      </c>
      <c r="IR10" s="27">
        <v>133923.51854967</v>
      </c>
      <c r="IS10" s="27">
        <v>78245.215443809982</v>
      </c>
      <c r="IT10" s="27">
        <v>191683.49011872002</v>
      </c>
      <c r="IU10" s="27">
        <v>154546.34556195</v>
      </c>
      <c r="IV10" s="27">
        <v>132172.96849160999</v>
      </c>
      <c r="IW10" s="27">
        <v>184622.49325112998</v>
      </c>
      <c r="IX10" s="27">
        <v>193362.32063306999</v>
      </c>
      <c r="IY10" s="28">
        <f>+SUM(IQ10:IX10)</f>
        <v>1201912.09990116</v>
      </c>
    </row>
    <row r="11" spans="1:262" s="11" customFormat="1" ht="20.100000000000001" customHeight="1" x14ac:dyDescent="0.25">
      <c r="A11" s="20" t="s">
        <v>24</v>
      </c>
      <c r="B11" s="27">
        <v>50.581140900000001</v>
      </c>
      <c r="C11" s="27">
        <v>30.215139239999999</v>
      </c>
      <c r="D11" s="27">
        <v>46.986724119999998</v>
      </c>
      <c r="E11" s="27">
        <v>33.309637449999997</v>
      </c>
      <c r="F11" s="27">
        <v>97.279213380000002</v>
      </c>
      <c r="G11" s="27">
        <v>80.779427689999991</v>
      </c>
      <c r="H11" s="27">
        <v>87.989049040000012</v>
      </c>
      <c r="I11" s="27">
        <v>73.501677020000002</v>
      </c>
      <c r="J11" s="27">
        <v>54.960433990000006</v>
      </c>
      <c r="K11" s="27">
        <v>11.70294172</v>
      </c>
      <c r="L11" s="27">
        <v>61.407271569999999</v>
      </c>
      <c r="M11" s="27">
        <v>68.926428439999995</v>
      </c>
      <c r="N11" s="27">
        <v>51.244137969999997</v>
      </c>
      <c r="O11" s="27">
        <v>29.780774839999999</v>
      </c>
      <c r="P11" s="28">
        <f>SUM(D11:O11)</f>
        <v>697.86771723000004</v>
      </c>
      <c r="Q11" s="27">
        <v>131.07931173</v>
      </c>
      <c r="R11" s="27">
        <v>10.326921089999999</v>
      </c>
      <c r="S11" s="27">
        <v>0</v>
      </c>
      <c r="T11" s="27">
        <v>137.08124533</v>
      </c>
      <c r="U11" s="27">
        <v>67.492832079999999</v>
      </c>
      <c r="V11" s="27">
        <v>55.459347869999995</v>
      </c>
      <c r="W11" s="27">
        <v>78.260538790000012</v>
      </c>
      <c r="X11" s="27">
        <v>4.3924195999999993</v>
      </c>
      <c r="Y11" s="27">
        <v>54.352580759999995</v>
      </c>
      <c r="Z11" s="27">
        <v>75.343333170000008</v>
      </c>
      <c r="AA11" s="27">
        <v>52.790414609999999</v>
      </c>
      <c r="AB11" s="27">
        <v>34.708132240000005</v>
      </c>
      <c r="AC11" s="28">
        <f>SUM(Q11:AB11)</f>
        <v>701.28707727000005</v>
      </c>
      <c r="AD11" s="27">
        <v>51.270337210000001</v>
      </c>
      <c r="AE11" s="27">
        <v>78.042828200000002</v>
      </c>
      <c r="AF11" s="27">
        <v>40.213348329999995</v>
      </c>
      <c r="AG11" s="27">
        <v>74.86763182</v>
      </c>
      <c r="AH11" s="27">
        <v>91.463002010000011</v>
      </c>
      <c r="AI11" s="27">
        <v>71.590196779999999</v>
      </c>
      <c r="AJ11" s="27">
        <v>78.42310873000001</v>
      </c>
      <c r="AK11" s="27">
        <v>65.718523070000003</v>
      </c>
      <c r="AL11" s="27">
        <v>66.450068000000002</v>
      </c>
      <c r="AM11" s="27">
        <v>128.74636258999999</v>
      </c>
      <c r="AN11" s="27">
        <v>63.533671090000006</v>
      </c>
      <c r="AO11" s="27">
        <v>0</v>
      </c>
      <c r="AP11" s="28">
        <f>SUM(AD11:AO11)</f>
        <v>810.31907782999997</v>
      </c>
      <c r="AQ11" s="27">
        <v>60.403954749999997</v>
      </c>
      <c r="AR11" s="27">
        <v>0</v>
      </c>
      <c r="AS11" s="27">
        <v>10.87799652</v>
      </c>
      <c r="AT11" s="27">
        <v>119.13023167</v>
      </c>
      <c r="AU11" s="27">
        <v>65.552049569999994</v>
      </c>
      <c r="AV11" s="27">
        <v>53.656326810000003</v>
      </c>
      <c r="AW11" s="27">
        <v>36.76942974</v>
      </c>
      <c r="AX11" s="27">
        <v>142.41838731000001</v>
      </c>
      <c r="AY11" s="27">
        <v>72.868488659999997</v>
      </c>
      <c r="AZ11" s="27">
        <v>76.916036199999994</v>
      </c>
      <c r="BA11" s="27">
        <v>91.270624220000002</v>
      </c>
      <c r="BB11" s="27">
        <v>48.59225326</v>
      </c>
      <c r="BC11" s="28">
        <f>SUM(AQ11:BB11)</f>
        <v>778.45577871</v>
      </c>
      <c r="BD11" s="27">
        <v>128.75569754</v>
      </c>
      <c r="BE11" s="27">
        <v>7.9443098499999998</v>
      </c>
      <c r="BF11" s="27">
        <v>39.812330689999996</v>
      </c>
      <c r="BG11" s="27">
        <v>74.136411240000001</v>
      </c>
      <c r="BH11" s="27">
        <v>109.99768575</v>
      </c>
      <c r="BI11" s="27">
        <v>56.371187689999999</v>
      </c>
      <c r="BJ11" s="27">
        <v>140.81247264999999</v>
      </c>
      <c r="BK11" s="27">
        <v>4.5920444600000003</v>
      </c>
      <c r="BL11" s="27">
        <v>93.390209519999999</v>
      </c>
      <c r="BM11" s="27">
        <v>88.974082060000001</v>
      </c>
      <c r="BN11" s="27">
        <v>76.154473949999996</v>
      </c>
      <c r="BO11" s="27">
        <v>495.40101771000002</v>
      </c>
      <c r="BP11" s="28">
        <f>SUM(BD11:BO11)</f>
        <v>1316.3419231100002</v>
      </c>
      <c r="BQ11" s="27">
        <v>121.90339424000001</v>
      </c>
      <c r="BR11" s="27">
        <v>3.9609600199999999</v>
      </c>
      <c r="BS11" s="27">
        <v>180.62841455</v>
      </c>
      <c r="BT11" s="27">
        <v>0</v>
      </c>
      <c r="BU11" s="27">
        <v>0</v>
      </c>
      <c r="BV11" s="27">
        <v>0</v>
      </c>
      <c r="BW11" s="27">
        <v>0</v>
      </c>
      <c r="BX11" s="27">
        <v>0</v>
      </c>
      <c r="BY11" s="27">
        <v>0</v>
      </c>
      <c r="BZ11" s="27">
        <v>0</v>
      </c>
      <c r="CA11" s="27">
        <v>0</v>
      </c>
      <c r="CB11" s="27">
        <v>0</v>
      </c>
      <c r="CC11" s="28">
        <f>SUM(BQ11:CB11)</f>
        <v>306.49276881000003</v>
      </c>
      <c r="CD11" s="27">
        <v>185.63997255000001</v>
      </c>
      <c r="CE11" s="27">
        <v>2.9456487</v>
      </c>
      <c r="CF11" s="27">
        <v>278.38470351000001</v>
      </c>
      <c r="CG11" s="27">
        <v>549.26471230999994</v>
      </c>
      <c r="CH11" s="27">
        <v>428.15034594000002</v>
      </c>
      <c r="CI11" s="27">
        <v>50.83420212</v>
      </c>
      <c r="CJ11" s="27">
        <v>215.73809861999999</v>
      </c>
      <c r="CK11" s="27">
        <v>0</v>
      </c>
      <c r="CL11" s="27">
        <v>389.55682161999999</v>
      </c>
      <c r="CM11" s="27">
        <v>473.65759328999997</v>
      </c>
      <c r="CN11" s="27">
        <v>240.96131335999999</v>
      </c>
      <c r="CO11" s="27">
        <v>127.87595801999998</v>
      </c>
      <c r="CP11" s="28">
        <f>+SUM(CD11:CO11)</f>
        <v>2943.0093700400002</v>
      </c>
      <c r="CQ11" s="27">
        <v>317.01196870999996</v>
      </c>
      <c r="CR11" s="27">
        <v>0</v>
      </c>
      <c r="CS11" s="27">
        <v>0</v>
      </c>
      <c r="CT11" s="27">
        <v>300.10787512999997</v>
      </c>
      <c r="CU11" s="27">
        <v>0</v>
      </c>
      <c r="CV11" s="27">
        <v>0</v>
      </c>
      <c r="CW11" s="27">
        <v>0</v>
      </c>
      <c r="CX11" s="27">
        <v>0</v>
      </c>
      <c r="CY11" s="27">
        <v>0</v>
      </c>
      <c r="CZ11" s="27">
        <v>0</v>
      </c>
      <c r="DA11" s="27">
        <v>0</v>
      </c>
      <c r="DB11" s="27">
        <v>0</v>
      </c>
      <c r="DC11" s="28">
        <f>+SUM(CQ11:DB11)</f>
        <v>617.11984383999993</v>
      </c>
      <c r="DD11" s="27">
        <v>0</v>
      </c>
      <c r="DE11" s="27">
        <v>0</v>
      </c>
      <c r="DF11" s="27">
        <v>0</v>
      </c>
      <c r="DG11" s="27">
        <v>0</v>
      </c>
      <c r="DH11" s="27">
        <v>0</v>
      </c>
      <c r="DI11" s="27">
        <v>0</v>
      </c>
      <c r="DJ11" s="27">
        <v>0</v>
      </c>
      <c r="DK11" s="27">
        <v>0</v>
      </c>
      <c r="DL11" s="27">
        <v>0</v>
      </c>
      <c r="DM11" s="27">
        <v>0</v>
      </c>
      <c r="DN11" s="27">
        <v>0</v>
      </c>
      <c r="DO11" s="27">
        <v>0</v>
      </c>
      <c r="DP11" s="28">
        <f>+SUM(DD11:DO11)</f>
        <v>0</v>
      </c>
      <c r="DQ11" s="27">
        <v>0</v>
      </c>
      <c r="DR11" s="27">
        <v>0.15153865244</v>
      </c>
      <c r="DS11" s="27">
        <v>0</v>
      </c>
      <c r="DT11" s="27">
        <v>0</v>
      </c>
      <c r="DU11" s="27">
        <v>0</v>
      </c>
      <c r="DV11" s="27">
        <v>0</v>
      </c>
      <c r="DW11" s="27">
        <v>0</v>
      </c>
      <c r="DX11" s="27">
        <v>0</v>
      </c>
      <c r="DY11" s="27">
        <v>0</v>
      </c>
      <c r="DZ11" s="27">
        <v>1.72998728</v>
      </c>
      <c r="EA11" s="27">
        <v>0</v>
      </c>
      <c r="EB11" s="27">
        <v>0</v>
      </c>
      <c r="EC11" s="28">
        <f>+SUM(DQ11:EB11)</f>
        <v>1.88152593244</v>
      </c>
      <c r="ED11" s="27">
        <v>0</v>
      </c>
      <c r="EE11" s="27">
        <v>0</v>
      </c>
      <c r="EF11" s="27">
        <v>0</v>
      </c>
      <c r="EG11" s="27">
        <v>0</v>
      </c>
      <c r="EH11" s="27">
        <v>0</v>
      </c>
      <c r="EI11" s="27">
        <v>0</v>
      </c>
      <c r="EJ11" s="27">
        <v>0</v>
      </c>
      <c r="EK11" s="27">
        <v>0</v>
      </c>
      <c r="EL11" s="27">
        <v>0</v>
      </c>
      <c r="EM11" s="27">
        <v>0</v>
      </c>
      <c r="EN11" s="27">
        <v>0</v>
      </c>
      <c r="EO11" s="27">
        <v>0</v>
      </c>
      <c r="EP11" s="28">
        <f>+SUM(ED11:EO11)</f>
        <v>0</v>
      </c>
      <c r="EQ11" s="27">
        <v>0</v>
      </c>
      <c r="ER11" s="27">
        <v>0</v>
      </c>
      <c r="ES11" s="27">
        <v>0</v>
      </c>
      <c r="ET11" s="27">
        <v>0</v>
      </c>
      <c r="EU11" s="27">
        <v>0</v>
      </c>
      <c r="EV11" s="27">
        <v>0</v>
      </c>
      <c r="EW11" s="27">
        <v>0</v>
      </c>
      <c r="EX11" s="27">
        <v>0</v>
      </c>
      <c r="EY11" s="27">
        <v>0</v>
      </c>
      <c r="EZ11" s="27">
        <v>0</v>
      </c>
      <c r="FA11" s="27">
        <v>0</v>
      </c>
      <c r="FB11" s="27">
        <v>0</v>
      </c>
      <c r="FC11" s="28">
        <f>+SUM(EQ11:FB11)</f>
        <v>0</v>
      </c>
      <c r="FD11" s="27">
        <v>0</v>
      </c>
      <c r="FE11" s="27">
        <v>0</v>
      </c>
      <c r="FF11" s="27">
        <v>0</v>
      </c>
      <c r="FG11" s="27">
        <v>0</v>
      </c>
      <c r="FH11" s="27">
        <v>1997.9772764300001</v>
      </c>
      <c r="FI11" s="27">
        <v>0</v>
      </c>
      <c r="FJ11" s="27">
        <v>0</v>
      </c>
      <c r="FK11" s="27">
        <v>0</v>
      </c>
      <c r="FL11" s="27">
        <v>0</v>
      </c>
      <c r="FM11" s="27">
        <v>0</v>
      </c>
      <c r="FN11" s="27">
        <v>0</v>
      </c>
      <c r="FO11" s="27">
        <v>0</v>
      </c>
      <c r="FP11" s="28">
        <f>+SUM(FD11:FO11)</f>
        <v>1997.9772764300001</v>
      </c>
      <c r="FQ11" s="27">
        <v>0</v>
      </c>
      <c r="FR11" s="27">
        <v>0</v>
      </c>
      <c r="FS11" s="27">
        <v>0</v>
      </c>
      <c r="FT11" s="27">
        <v>0</v>
      </c>
      <c r="FU11" s="27">
        <v>0</v>
      </c>
      <c r="FV11" s="27">
        <v>0</v>
      </c>
      <c r="FW11" s="27">
        <v>0</v>
      </c>
      <c r="FX11" s="27">
        <v>0</v>
      </c>
      <c r="FY11" s="27">
        <v>0</v>
      </c>
      <c r="FZ11" s="27">
        <v>0</v>
      </c>
      <c r="GA11" s="27">
        <v>0</v>
      </c>
      <c r="GB11" s="27">
        <v>0</v>
      </c>
      <c r="GC11" s="28">
        <f>+SUM(FQ11:GB11)</f>
        <v>0</v>
      </c>
      <c r="GD11" s="27">
        <v>0</v>
      </c>
      <c r="GE11" s="27">
        <v>0</v>
      </c>
      <c r="GF11" s="27">
        <v>0</v>
      </c>
      <c r="GG11" s="27">
        <v>0</v>
      </c>
      <c r="GH11" s="27">
        <v>0</v>
      </c>
      <c r="GI11" s="27">
        <v>0</v>
      </c>
      <c r="GJ11" s="27">
        <v>0</v>
      </c>
      <c r="GK11" s="27">
        <v>0</v>
      </c>
      <c r="GL11" s="27">
        <v>0</v>
      </c>
      <c r="GM11" s="27">
        <v>0</v>
      </c>
      <c r="GN11" s="27">
        <v>0</v>
      </c>
      <c r="GO11" s="27">
        <v>0</v>
      </c>
      <c r="GP11" s="28">
        <f>+SUM(GD11:GO11)</f>
        <v>0</v>
      </c>
      <c r="GQ11" s="27">
        <v>0</v>
      </c>
      <c r="GR11" s="27">
        <v>0</v>
      </c>
      <c r="GS11" s="27">
        <v>0</v>
      </c>
      <c r="GT11" s="27">
        <v>0</v>
      </c>
      <c r="GU11" s="27">
        <v>0</v>
      </c>
      <c r="GV11" s="27">
        <v>0</v>
      </c>
      <c r="GW11" s="27">
        <v>0</v>
      </c>
      <c r="GX11" s="27">
        <v>0</v>
      </c>
      <c r="GY11" s="27">
        <v>0</v>
      </c>
      <c r="GZ11" s="27">
        <v>0</v>
      </c>
      <c r="HA11" s="27">
        <v>0</v>
      </c>
      <c r="HB11" s="27">
        <v>0</v>
      </c>
      <c r="HC11" s="28">
        <f>+SUM(GQ11:HB11)</f>
        <v>0</v>
      </c>
      <c r="HD11" s="27">
        <v>0</v>
      </c>
      <c r="HE11" s="27">
        <v>0</v>
      </c>
      <c r="HF11" s="27">
        <v>0</v>
      </c>
      <c r="HG11" s="27">
        <v>0</v>
      </c>
      <c r="HH11" s="27">
        <v>0</v>
      </c>
      <c r="HI11" s="27">
        <v>0</v>
      </c>
      <c r="HJ11" s="27">
        <v>0</v>
      </c>
      <c r="HK11" s="27">
        <v>0</v>
      </c>
      <c r="HL11" s="27">
        <v>0</v>
      </c>
      <c r="HM11" s="27">
        <v>0</v>
      </c>
      <c r="HN11" s="27">
        <v>0</v>
      </c>
      <c r="HO11" s="27"/>
      <c r="HP11" s="28">
        <f>+SUM(HD11:HO11)</f>
        <v>0</v>
      </c>
      <c r="HQ11" s="27">
        <v>0</v>
      </c>
      <c r="HR11" s="27">
        <v>0</v>
      </c>
      <c r="HS11" s="27">
        <v>0</v>
      </c>
      <c r="HT11" s="27">
        <v>0</v>
      </c>
      <c r="HU11" s="27">
        <v>0</v>
      </c>
      <c r="HV11" s="27">
        <v>0</v>
      </c>
      <c r="HW11" s="27">
        <v>0</v>
      </c>
      <c r="HX11" s="27">
        <v>0</v>
      </c>
      <c r="HY11" s="27">
        <v>0</v>
      </c>
      <c r="HZ11" s="27">
        <v>0</v>
      </c>
      <c r="IA11" s="27">
        <v>0</v>
      </c>
      <c r="IB11" s="27">
        <v>0</v>
      </c>
      <c r="IC11" s="28">
        <f>+SUM(HQ11:IB11)</f>
        <v>0</v>
      </c>
      <c r="ID11" s="27">
        <v>0</v>
      </c>
      <c r="IE11" s="27">
        <v>0</v>
      </c>
      <c r="IF11" s="27">
        <v>0</v>
      </c>
      <c r="IG11" s="27">
        <v>0</v>
      </c>
      <c r="IH11" s="27">
        <v>0</v>
      </c>
      <c r="II11" s="27">
        <v>0</v>
      </c>
      <c r="IJ11" s="27">
        <v>0</v>
      </c>
      <c r="IK11" s="27">
        <v>0</v>
      </c>
      <c r="IL11" s="27">
        <v>0</v>
      </c>
      <c r="IM11" s="27">
        <v>0</v>
      </c>
      <c r="IN11" s="27">
        <v>0</v>
      </c>
      <c r="IO11" s="27">
        <v>0</v>
      </c>
      <c r="IP11" s="28">
        <f>+SUM(ID11:IO11)</f>
        <v>0</v>
      </c>
      <c r="IQ11" s="27">
        <v>0</v>
      </c>
      <c r="IR11" s="27">
        <v>0</v>
      </c>
      <c r="IS11" s="27">
        <v>0</v>
      </c>
      <c r="IT11" s="27">
        <v>0</v>
      </c>
      <c r="IU11" s="27">
        <v>0</v>
      </c>
      <c r="IV11" s="27">
        <v>0</v>
      </c>
      <c r="IW11" s="27">
        <v>0</v>
      </c>
      <c r="IX11" s="27">
        <v>0</v>
      </c>
      <c r="IY11" s="28">
        <f>+SUM(IQ11:IX11)</f>
        <v>0</v>
      </c>
    </row>
    <row r="12" spans="1:262" s="11" customFormat="1" ht="20.100000000000001" customHeight="1" x14ac:dyDescent="0.25">
      <c r="A12" s="20" t="s">
        <v>23</v>
      </c>
      <c r="B12" s="27">
        <v>263.88173998999997</v>
      </c>
      <c r="C12" s="27">
        <v>604.95145696999998</v>
      </c>
      <c r="D12" s="27">
        <v>20.460014640000001</v>
      </c>
      <c r="E12" s="27">
        <v>1887.6727008499997</v>
      </c>
      <c r="F12" s="27">
        <v>937.16122423000002</v>
      </c>
      <c r="G12" s="27">
        <v>226.01432961999996</v>
      </c>
      <c r="H12" s="27">
        <v>52.092154040000004</v>
      </c>
      <c r="I12" s="27">
        <v>959.64874287369207</v>
      </c>
      <c r="J12" s="27">
        <v>279.74253316999994</v>
      </c>
      <c r="K12" s="27">
        <v>49.196467159999997</v>
      </c>
      <c r="L12" s="27">
        <v>137.54651177</v>
      </c>
      <c r="M12" s="27">
        <v>2563.8004806999998</v>
      </c>
      <c r="N12" s="27">
        <v>842.10170297000002</v>
      </c>
      <c r="O12" s="27">
        <v>3099.8357995999995</v>
      </c>
      <c r="P12" s="28">
        <f>SUM(D12:O12)</f>
        <v>11055.272661623691</v>
      </c>
      <c r="Q12" s="27">
        <v>142.04181932</v>
      </c>
      <c r="R12" s="27">
        <v>241.53083379</v>
      </c>
      <c r="S12" s="27">
        <v>240.70277526000004</v>
      </c>
      <c r="T12" s="27">
        <v>193.96633654999999</v>
      </c>
      <c r="U12" s="27">
        <v>17.668030420000001</v>
      </c>
      <c r="V12" s="27">
        <v>130.23621709</v>
      </c>
      <c r="W12" s="27">
        <v>1074.1728615499999</v>
      </c>
      <c r="X12" s="27">
        <v>571.58286293000003</v>
      </c>
      <c r="Y12" s="27">
        <v>5411.9048192899991</v>
      </c>
      <c r="Z12" s="27">
        <v>5229.7695422699999</v>
      </c>
      <c r="AA12" s="27">
        <v>673.20157129000006</v>
      </c>
      <c r="AB12" s="27">
        <v>16472.175578490001</v>
      </c>
      <c r="AC12" s="28">
        <f>SUM(Q12:AB12)</f>
        <v>30398.95324825</v>
      </c>
      <c r="AD12" s="27">
        <v>5320.79884631</v>
      </c>
      <c r="AE12" s="27">
        <v>6.8248629699999999</v>
      </c>
      <c r="AF12" s="27">
        <v>13426.790325460001</v>
      </c>
      <c r="AG12" s="27">
        <v>57.546230000000001</v>
      </c>
      <c r="AH12" s="27">
        <v>203.44227676</v>
      </c>
      <c r="AI12" s="27">
        <v>26214.48691688</v>
      </c>
      <c r="AJ12" s="27">
        <v>25098.71284928</v>
      </c>
      <c r="AK12" s="27">
        <v>36044.661532480008</v>
      </c>
      <c r="AL12" s="27">
        <v>113.19868004000001</v>
      </c>
      <c r="AM12" s="27">
        <v>2323.7044478999996</v>
      </c>
      <c r="AN12" s="27">
        <v>489.86584735999998</v>
      </c>
      <c r="AO12" s="27">
        <v>213.31725467000001</v>
      </c>
      <c r="AP12" s="28">
        <f>SUM(AD12:AO12)</f>
        <v>109513.35007011</v>
      </c>
      <c r="AQ12" s="27">
        <v>4025.29645493</v>
      </c>
      <c r="AR12" s="27">
        <v>4.2029543799999995</v>
      </c>
      <c r="AS12" s="27">
        <v>204.32292441999996</v>
      </c>
      <c r="AT12" s="27">
        <v>74207.371853460005</v>
      </c>
      <c r="AU12" s="27">
        <v>6258.0909849600002</v>
      </c>
      <c r="AV12" s="27">
        <v>2766.0222474600005</v>
      </c>
      <c r="AW12" s="27">
        <v>346.89812096000003</v>
      </c>
      <c r="AX12" s="27">
        <v>71.868176399999996</v>
      </c>
      <c r="AY12" s="27">
        <v>67812.307061490006</v>
      </c>
      <c r="AZ12" s="27">
        <v>451.63416644000006</v>
      </c>
      <c r="BA12" s="27">
        <v>285.93688059999999</v>
      </c>
      <c r="BB12" s="27">
        <v>23960.933421979997</v>
      </c>
      <c r="BC12" s="28">
        <f>SUM(AQ12:BB12)</f>
        <v>180394.88524748001</v>
      </c>
      <c r="BD12" s="27">
        <v>325.66113987999995</v>
      </c>
      <c r="BE12" s="27">
        <v>2073.7394117800004</v>
      </c>
      <c r="BF12" s="27">
        <v>5491.9572522600001</v>
      </c>
      <c r="BG12" s="27">
        <v>2048.75901785</v>
      </c>
      <c r="BH12" s="27">
        <v>896.52207324000017</v>
      </c>
      <c r="BI12" s="27">
        <v>30487.788742160006</v>
      </c>
      <c r="BJ12" s="27">
        <v>416.67225028999991</v>
      </c>
      <c r="BK12" s="27">
        <v>2160.4677991599992</v>
      </c>
      <c r="BL12" s="27">
        <v>433.10468030999994</v>
      </c>
      <c r="BM12" s="27">
        <v>799.00352437000004</v>
      </c>
      <c r="BN12" s="27">
        <v>83.971241230000004</v>
      </c>
      <c r="BO12" s="27">
        <v>16037.61114782</v>
      </c>
      <c r="BP12" s="28">
        <f>SUM(BD12:BO12)</f>
        <v>61255.258280349997</v>
      </c>
      <c r="BQ12" s="27">
        <v>10276.952564480001</v>
      </c>
      <c r="BR12" s="27">
        <v>63245.230328299986</v>
      </c>
      <c r="BS12" s="27">
        <v>312.43000960000001</v>
      </c>
      <c r="BT12" s="27">
        <v>619.39997562999997</v>
      </c>
      <c r="BU12" s="27">
        <v>275.20408137999999</v>
      </c>
      <c r="BV12" s="27">
        <v>57383.941347029999</v>
      </c>
      <c r="BW12" s="27">
        <v>452.77363130000003</v>
      </c>
      <c r="BX12" s="27">
        <v>118.09446885999998</v>
      </c>
      <c r="BY12" s="27">
        <v>21446.813933770001</v>
      </c>
      <c r="BZ12" s="27">
        <v>20385.838756049994</v>
      </c>
      <c r="CA12" s="27">
        <v>333.06385797999997</v>
      </c>
      <c r="CB12" s="27">
        <v>16023.893296109998</v>
      </c>
      <c r="CC12" s="28">
        <f>SUM(BQ12:CB12)</f>
        <v>190873.63625049</v>
      </c>
      <c r="CD12" s="27">
        <v>16.718395549999997</v>
      </c>
      <c r="CE12" s="27">
        <v>372.05454341000006</v>
      </c>
      <c r="CF12" s="27">
        <v>163.72613155999994</v>
      </c>
      <c r="CG12" s="27">
        <v>103.15608545999999</v>
      </c>
      <c r="CH12" s="27">
        <v>2036.6905963600002</v>
      </c>
      <c r="CI12" s="27">
        <v>23048.131117219997</v>
      </c>
      <c r="CJ12" s="27">
        <v>638.20265403999997</v>
      </c>
      <c r="CK12" s="27">
        <v>1460.9759759200001</v>
      </c>
      <c r="CL12" s="27">
        <v>2083.5798425599996</v>
      </c>
      <c r="CM12" s="27">
        <v>2459.9803184099997</v>
      </c>
      <c r="CN12" s="27">
        <v>87.937423119999977</v>
      </c>
      <c r="CO12" s="27">
        <v>26334.290805880002</v>
      </c>
      <c r="CP12" s="28">
        <f>+SUM(CD12:CO12)</f>
        <v>58805.443889489994</v>
      </c>
      <c r="CQ12" s="27">
        <v>122.55928219999998</v>
      </c>
      <c r="CR12" s="27">
        <v>54.057750920000004</v>
      </c>
      <c r="CS12" s="27">
        <v>306.58134360000003</v>
      </c>
      <c r="CT12" s="27">
        <v>131.89050247999998</v>
      </c>
      <c r="CU12" s="27">
        <v>1245.2394116399998</v>
      </c>
      <c r="CV12" s="27">
        <v>30372.44245667</v>
      </c>
      <c r="CW12" s="27">
        <v>319.87989597000001</v>
      </c>
      <c r="CX12" s="27">
        <v>100.54854889999999</v>
      </c>
      <c r="CY12" s="27">
        <v>480.12170063999997</v>
      </c>
      <c r="CZ12" s="27">
        <v>1079.5877804599997</v>
      </c>
      <c r="DA12" s="27">
        <v>381.90797840999994</v>
      </c>
      <c r="DB12" s="27">
        <v>31379.938821650001</v>
      </c>
      <c r="DC12" s="28">
        <f>+SUM(CQ12:DB12)</f>
        <v>65974.755473540004</v>
      </c>
      <c r="DD12" s="27">
        <v>137.14733538999999</v>
      </c>
      <c r="DE12" s="27">
        <v>59.988608899999996</v>
      </c>
      <c r="DF12" s="27">
        <v>455.50175034999995</v>
      </c>
      <c r="DG12" s="27">
        <v>512.56948112999999</v>
      </c>
      <c r="DH12" s="27">
        <v>129.28888388999999</v>
      </c>
      <c r="DI12" s="27">
        <v>950.86913433999996</v>
      </c>
      <c r="DJ12" s="27">
        <v>1531.45154136</v>
      </c>
      <c r="DK12" s="27">
        <v>142.55575457999998</v>
      </c>
      <c r="DL12" s="27">
        <v>52.040930440000004</v>
      </c>
      <c r="DM12" s="27">
        <v>3599.4127664049997</v>
      </c>
      <c r="DN12" s="27">
        <v>2212.2567572196676</v>
      </c>
      <c r="DO12" s="27">
        <v>3136.6887997000003</v>
      </c>
      <c r="DP12" s="28">
        <f>+SUM(DD12:DO12)</f>
        <v>12919.771743704667</v>
      </c>
      <c r="DQ12" s="27">
        <v>509.47722241000002</v>
      </c>
      <c r="DR12" s="27">
        <v>61.485190667560005</v>
      </c>
      <c r="DS12" s="27">
        <v>86.354818780000002</v>
      </c>
      <c r="DT12" s="27">
        <v>1061.96136346</v>
      </c>
      <c r="DU12" s="27">
        <v>1472.6917053999998</v>
      </c>
      <c r="DV12" s="27">
        <v>4973.0142397499994</v>
      </c>
      <c r="DW12" s="27">
        <v>237.68226422000001</v>
      </c>
      <c r="DX12" s="27">
        <v>17.063594389999999</v>
      </c>
      <c r="DY12" s="27">
        <v>133.18447094000001</v>
      </c>
      <c r="DZ12" s="27">
        <v>159.22894286000002</v>
      </c>
      <c r="EA12" s="27">
        <v>248.94127724999998</v>
      </c>
      <c r="EB12" s="27">
        <v>2522.53878029</v>
      </c>
      <c r="EC12" s="28">
        <f>+SUM(DQ12:EB12)</f>
        <v>11483.623870417559</v>
      </c>
      <c r="ED12" s="27">
        <v>1268.99848148</v>
      </c>
      <c r="EE12" s="27">
        <v>77.853127749999999</v>
      </c>
      <c r="EF12" s="27">
        <v>1014.52400565</v>
      </c>
      <c r="EG12" s="27">
        <v>30.276786229999999</v>
      </c>
      <c r="EH12" s="27">
        <v>77.244813450000009</v>
      </c>
      <c r="EI12" s="27">
        <v>695.67416070999991</v>
      </c>
      <c r="EJ12" s="27">
        <v>115.73020299000001</v>
      </c>
      <c r="EK12" s="27">
        <v>98.47495705</v>
      </c>
      <c r="EL12" s="27">
        <v>66.295012</v>
      </c>
      <c r="EM12" s="27">
        <v>497.20117278999999</v>
      </c>
      <c r="EN12" s="27">
        <v>3647.7035702600001</v>
      </c>
      <c r="EO12" s="27">
        <v>4888.2666792299997</v>
      </c>
      <c r="EP12" s="28">
        <f>+SUM(ED12:EO12)</f>
        <v>12478.242969589999</v>
      </c>
      <c r="EQ12" s="27">
        <v>65.759073110000003</v>
      </c>
      <c r="ER12" s="27">
        <v>82.599950710000002</v>
      </c>
      <c r="ES12" s="27">
        <v>81.878843579999995</v>
      </c>
      <c r="ET12" s="27">
        <v>82.061828060000011</v>
      </c>
      <c r="EU12" s="27">
        <v>509.77924325000004</v>
      </c>
      <c r="EV12" s="27">
        <v>321.17316347000002</v>
      </c>
      <c r="EW12" s="27">
        <v>763.16889279999998</v>
      </c>
      <c r="EX12" s="27">
        <v>154.36253295</v>
      </c>
      <c r="EY12" s="27">
        <v>125.42515865999999</v>
      </c>
      <c r="EZ12" s="27">
        <v>616.2748247799999</v>
      </c>
      <c r="FA12" s="27">
        <v>79.146924589999998</v>
      </c>
      <c r="FB12" s="27">
        <v>317.65902857999998</v>
      </c>
      <c r="FC12" s="28">
        <f>+SUM(EQ12:FB12)</f>
        <v>3199.2894645399997</v>
      </c>
      <c r="FD12" s="27">
        <v>115.76498140000001</v>
      </c>
      <c r="FE12" s="27">
        <v>29.945333399999999</v>
      </c>
      <c r="FF12" s="27">
        <v>32.77947528</v>
      </c>
      <c r="FG12" s="27">
        <v>33.21840074</v>
      </c>
      <c r="FH12" s="27">
        <v>507.01435772000002</v>
      </c>
      <c r="FI12" s="27">
        <v>369.52233957999994</v>
      </c>
      <c r="FJ12" s="27">
        <v>210.14156460000001</v>
      </c>
      <c r="FK12" s="27">
        <v>1619.6516468699999</v>
      </c>
      <c r="FL12" s="27">
        <v>44.173893620000001</v>
      </c>
      <c r="FM12" s="27">
        <v>89.367043789999997</v>
      </c>
      <c r="FN12" s="27">
        <v>222.66230648000001</v>
      </c>
      <c r="FO12" s="27">
        <v>697.20264073999999</v>
      </c>
      <c r="FP12" s="28">
        <f>+SUM(FD12:FO12)</f>
        <v>3971.4439842199999</v>
      </c>
      <c r="FQ12" s="27">
        <v>367.84132858999999</v>
      </c>
      <c r="FR12" s="27">
        <v>46.32295714</v>
      </c>
      <c r="FS12" s="27">
        <v>515.19964547999996</v>
      </c>
      <c r="FT12" s="27">
        <v>82.02084739</v>
      </c>
      <c r="FU12" s="27">
        <v>31.500619929999999</v>
      </c>
      <c r="FV12" s="27">
        <v>147.57174703000001</v>
      </c>
      <c r="FW12" s="27">
        <v>40.653515519999999</v>
      </c>
      <c r="FX12" s="27">
        <v>27.972468159999998</v>
      </c>
      <c r="FY12" s="27">
        <v>29.583867939999998</v>
      </c>
      <c r="FZ12" s="27">
        <v>1259.97344441</v>
      </c>
      <c r="GA12" s="27">
        <v>187.26411146000001</v>
      </c>
      <c r="GB12" s="27">
        <v>717.44961928999999</v>
      </c>
      <c r="GC12" s="28">
        <f>+SUM(FQ12:GB12)</f>
        <v>3453.3541723399999</v>
      </c>
      <c r="GD12" s="27">
        <v>128.83666267000001</v>
      </c>
      <c r="GE12" s="27">
        <v>1180.0035957999999</v>
      </c>
      <c r="GF12" s="27">
        <v>36.904418059999998</v>
      </c>
      <c r="GG12" s="27">
        <v>49.048682410000005</v>
      </c>
      <c r="GH12" s="27">
        <v>70.705845049999994</v>
      </c>
      <c r="GI12" s="27">
        <v>53.638422509999998</v>
      </c>
      <c r="GJ12" s="27">
        <v>573.18709372000001</v>
      </c>
      <c r="GK12" s="27">
        <v>193.16670396000001</v>
      </c>
      <c r="GL12" s="27">
        <v>1504.10310744</v>
      </c>
      <c r="GM12" s="27">
        <v>80.138496279999998</v>
      </c>
      <c r="GN12" s="27">
        <v>4652.7649438500002</v>
      </c>
      <c r="GO12" s="27">
        <v>186.99890134999998</v>
      </c>
      <c r="GP12" s="28">
        <f>+SUM(GD12:GO12)</f>
        <v>8709.4968731000008</v>
      </c>
      <c r="GQ12" s="27">
        <v>2049.8467154700002</v>
      </c>
      <c r="GR12" s="27">
        <v>33.060424429999998</v>
      </c>
      <c r="GS12" s="27">
        <v>62.67988699</v>
      </c>
      <c r="GT12" s="27">
        <v>60.718196300000002</v>
      </c>
      <c r="GU12" s="27">
        <v>165.50746617000001</v>
      </c>
      <c r="GV12" s="27">
        <v>499.90542077999999</v>
      </c>
      <c r="GW12" s="27">
        <v>1105.2617757199998</v>
      </c>
      <c r="GX12" s="27">
        <v>2065.3500081500001</v>
      </c>
      <c r="GY12" s="27">
        <v>110.51398114999999</v>
      </c>
      <c r="GZ12" s="27">
        <v>472.43319378999996</v>
      </c>
      <c r="HA12" s="27">
        <v>1540.25318659</v>
      </c>
      <c r="HB12" s="27">
        <v>701.73207840999999</v>
      </c>
      <c r="HC12" s="28">
        <f>+SUM(GQ12:HB12)</f>
        <v>8867.2623339499987</v>
      </c>
      <c r="HD12" s="27">
        <v>573.20092878000003</v>
      </c>
      <c r="HE12" s="27">
        <v>47.09601661</v>
      </c>
      <c r="HF12" s="27">
        <v>5253.3330517699997</v>
      </c>
      <c r="HG12" s="27">
        <v>444.96392549000001</v>
      </c>
      <c r="HH12" s="27">
        <v>83.910561000000001</v>
      </c>
      <c r="HI12" s="27">
        <v>577.99556176999999</v>
      </c>
      <c r="HJ12" s="27">
        <v>680.75202263000006</v>
      </c>
      <c r="HK12" s="27">
        <v>1388.6688754700001</v>
      </c>
      <c r="HL12" s="27">
        <v>57.987938459999995</v>
      </c>
      <c r="HM12" s="27">
        <v>3371.3420710599999</v>
      </c>
      <c r="HN12" s="27">
        <v>233.71825973</v>
      </c>
      <c r="HO12" s="27">
        <v>2648.8990319899999</v>
      </c>
      <c r="HP12" s="28">
        <f>+SUM(HD12:HO12)</f>
        <v>15361.868244760002</v>
      </c>
      <c r="HQ12" s="27">
        <v>271.19219454999995</v>
      </c>
      <c r="HR12" s="27">
        <v>8949.9643770000002</v>
      </c>
      <c r="HS12" s="27">
        <v>957.60326887000008</v>
      </c>
      <c r="HT12" s="27">
        <v>1723.51650477</v>
      </c>
      <c r="HU12" s="27">
        <v>7884.8282825099996</v>
      </c>
      <c r="HV12" s="27">
        <v>7156.9060333399993</v>
      </c>
      <c r="HW12" s="27">
        <v>967.87310781999997</v>
      </c>
      <c r="HX12" s="27">
        <v>104.5605748</v>
      </c>
      <c r="HY12" s="27">
        <v>674.05132212000001</v>
      </c>
      <c r="HZ12" s="27">
        <v>73.909413549999996</v>
      </c>
      <c r="IA12" s="27">
        <v>166.44969570000001</v>
      </c>
      <c r="IB12" s="27">
        <v>5099.6446133400004</v>
      </c>
      <c r="IC12" s="28">
        <f>+SUM(HQ12:IB12)</f>
        <v>34030.499388370001</v>
      </c>
      <c r="ID12" s="27">
        <v>1472.40892519</v>
      </c>
      <c r="IE12" s="27">
        <v>1940.34172089</v>
      </c>
      <c r="IF12" s="27">
        <v>1876.45541994</v>
      </c>
      <c r="IG12" s="27">
        <v>4162.0699545200005</v>
      </c>
      <c r="IH12" s="27">
        <v>3718.72352202</v>
      </c>
      <c r="II12" s="27">
        <v>3407.5932067799999</v>
      </c>
      <c r="IJ12" s="27">
        <v>1185.63524811</v>
      </c>
      <c r="IK12" s="27">
        <v>4688.0685462299998</v>
      </c>
      <c r="IL12" s="27">
        <v>376.21575411000003</v>
      </c>
      <c r="IM12" s="27">
        <v>469.68586192999999</v>
      </c>
      <c r="IN12" s="27">
        <v>934.22849400999996</v>
      </c>
      <c r="IO12" s="27">
        <v>435.56505503</v>
      </c>
      <c r="IP12" s="28">
        <f>+SUM(ID12:IO12)</f>
        <v>24666.991708760001</v>
      </c>
      <c r="IQ12" s="27">
        <v>488.37974725999999</v>
      </c>
      <c r="IR12" s="27">
        <v>1088.4281290599999</v>
      </c>
      <c r="IS12" s="27">
        <v>252.96598246999997</v>
      </c>
      <c r="IT12" s="27">
        <v>857.48283043000004</v>
      </c>
      <c r="IU12" s="27">
        <v>1469.9490419600002</v>
      </c>
      <c r="IV12" s="27">
        <v>2552.4982950000003</v>
      </c>
      <c r="IW12" s="27">
        <v>1848.4021685399998</v>
      </c>
      <c r="IX12" s="27">
        <v>3123.2175198799996</v>
      </c>
      <c r="IY12" s="28">
        <f>+SUM(IQ12:IX12)</f>
        <v>11681.323714599999</v>
      </c>
    </row>
    <row r="13" spans="1:262" s="11" customFormat="1" ht="20.100000000000001" customHeight="1" x14ac:dyDescent="0.25">
      <c r="A13" s="20" t="s">
        <v>16</v>
      </c>
      <c r="B13" s="27">
        <v>19446.600808630003</v>
      </c>
      <c r="C13" s="27">
        <v>8016.1975281300001</v>
      </c>
      <c r="D13" s="27">
        <v>11293.655006339999</v>
      </c>
      <c r="E13" s="27">
        <v>12697.86875962</v>
      </c>
      <c r="F13" s="27">
        <v>9459.2704545500001</v>
      </c>
      <c r="G13" s="27">
        <v>13959.825082699999</v>
      </c>
      <c r="H13" s="27">
        <v>17370.415037209998</v>
      </c>
      <c r="I13" s="27">
        <v>15756.199835700001</v>
      </c>
      <c r="J13" s="27">
        <v>9951.3671541900003</v>
      </c>
      <c r="K13" s="27">
        <v>6.9287975783100002</v>
      </c>
      <c r="L13" s="27">
        <v>9189.5540159800003</v>
      </c>
      <c r="M13" s="27">
        <v>9693.1769749199993</v>
      </c>
      <c r="N13" s="27">
        <v>8092.8997495799995</v>
      </c>
      <c r="O13" s="27">
        <v>10254.377089789999</v>
      </c>
      <c r="P13" s="28">
        <f>SUM(D13:O13)</f>
        <v>127725.5379581583</v>
      </c>
      <c r="Q13" s="27">
        <v>5169.7433562100005</v>
      </c>
      <c r="R13" s="27">
        <v>16290.006053730001</v>
      </c>
      <c r="S13" s="27">
        <v>11241.09795447</v>
      </c>
      <c r="T13" s="27">
        <v>4804.4358649400001</v>
      </c>
      <c r="U13" s="27">
        <v>6478.0388053700008</v>
      </c>
      <c r="V13" s="27">
        <v>5666.8679513799989</v>
      </c>
      <c r="W13" s="27">
        <v>11524.991983690001</v>
      </c>
      <c r="X13" s="27">
        <v>4564.0560852500003</v>
      </c>
      <c r="Y13" s="27">
        <v>3736.46126061</v>
      </c>
      <c r="Z13" s="27">
        <v>968.57564272000002</v>
      </c>
      <c r="AA13" s="27">
        <v>2946.9764719499999</v>
      </c>
      <c r="AB13" s="27">
        <v>5823.8199034600002</v>
      </c>
      <c r="AC13" s="28">
        <f>SUM(Q13:AB13)</f>
        <v>79215.071333779997</v>
      </c>
      <c r="AD13" s="27">
        <v>2563.0994575099999</v>
      </c>
      <c r="AE13" s="27">
        <v>4444.4763752099998</v>
      </c>
      <c r="AF13" s="27">
        <v>875.16259246000004</v>
      </c>
      <c r="AG13" s="27">
        <v>3213.5441658400005</v>
      </c>
      <c r="AH13" s="27">
        <v>4968.0446748300001</v>
      </c>
      <c r="AI13" s="27">
        <v>16185.703331450002</v>
      </c>
      <c r="AJ13" s="27">
        <v>4699.71911318</v>
      </c>
      <c r="AK13" s="27">
        <v>12765.747742440002</v>
      </c>
      <c r="AL13" s="27">
        <v>3994.4952613699998</v>
      </c>
      <c r="AM13" s="27">
        <v>1340.3744544000001</v>
      </c>
      <c r="AN13" s="27">
        <v>6504.4077474899996</v>
      </c>
      <c r="AO13" s="27">
        <v>5416.1382971199992</v>
      </c>
      <c r="AP13" s="28">
        <f>SUM(AD13:AO13)</f>
        <v>66970.913213300009</v>
      </c>
      <c r="AQ13" s="27">
        <v>1190.3047544099998</v>
      </c>
      <c r="AR13" s="27">
        <v>5183.0853692399996</v>
      </c>
      <c r="AS13" s="27">
        <v>5578.7610273700002</v>
      </c>
      <c r="AT13" s="27">
        <v>1109.9011347400001</v>
      </c>
      <c r="AU13" s="27">
        <v>1384.0095887444149</v>
      </c>
      <c r="AV13" s="27">
        <v>1591.7387652799998</v>
      </c>
      <c r="AW13" s="27">
        <v>1692.85341462</v>
      </c>
      <c r="AX13" s="27">
        <v>4192.2398186500004</v>
      </c>
      <c r="AY13" s="27">
        <v>2988.9598211599996</v>
      </c>
      <c r="AZ13" s="27">
        <v>1751.7548116599999</v>
      </c>
      <c r="BA13" s="27">
        <v>1830.61195761</v>
      </c>
      <c r="BB13" s="27">
        <v>1289.71667194</v>
      </c>
      <c r="BC13" s="28">
        <f>SUM(AQ13:BB13)</f>
        <v>29783.937135424414</v>
      </c>
      <c r="BD13" s="27">
        <v>2378.6426808400001</v>
      </c>
      <c r="BE13" s="27">
        <v>5178.0158761799994</v>
      </c>
      <c r="BF13" s="27">
        <v>6568.0168813400005</v>
      </c>
      <c r="BG13" s="27">
        <v>2505.33253668</v>
      </c>
      <c r="BH13" s="27">
        <v>3693.1426651700003</v>
      </c>
      <c r="BI13" s="27">
        <v>3912.1877873899994</v>
      </c>
      <c r="BJ13" s="27">
        <v>3772.3604716800005</v>
      </c>
      <c r="BK13" s="27">
        <v>2992.0366285399996</v>
      </c>
      <c r="BL13" s="27">
        <v>1861.4784548700002</v>
      </c>
      <c r="BM13" s="27">
        <v>4110.9688828499993</v>
      </c>
      <c r="BN13" s="27">
        <v>9960.22511467</v>
      </c>
      <c r="BO13" s="27">
        <v>3953.5542847500001</v>
      </c>
      <c r="BP13" s="28">
        <f>SUM(BD13:BO13)</f>
        <v>50885.962264959991</v>
      </c>
      <c r="BQ13" s="27">
        <v>3306.6542756000003</v>
      </c>
      <c r="BR13" s="27">
        <v>5897.2838529699993</v>
      </c>
      <c r="BS13" s="27">
        <v>1639.4999105299999</v>
      </c>
      <c r="BT13" s="27">
        <v>3049.85282138</v>
      </c>
      <c r="BU13" s="27">
        <v>3317.6376326499994</v>
      </c>
      <c r="BV13" s="27">
        <v>5407.4402170600006</v>
      </c>
      <c r="BW13" s="27">
        <v>2746.0960904500002</v>
      </c>
      <c r="BX13" s="27">
        <v>14972.911531010001</v>
      </c>
      <c r="BY13" s="27">
        <v>6174.0545165399999</v>
      </c>
      <c r="BZ13" s="27">
        <v>1465.8265472599996</v>
      </c>
      <c r="CA13" s="27">
        <v>6897.7664921599999</v>
      </c>
      <c r="CB13" s="27">
        <v>19148.805237879998</v>
      </c>
      <c r="CC13" s="28">
        <f>SUM(BQ13:CB13)</f>
        <v>74023.829125489996</v>
      </c>
      <c r="CD13" s="27">
        <v>1868.0000060299999</v>
      </c>
      <c r="CE13" s="27">
        <v>1031.7545022000002</v>
      </c>
      <c r="CF13" s="27">
        <v>3770.0880936399994</v>
      </c>
      <c r="CG13" s="27">
        <v>1869.0152651100002</v>
      </c>
      <c r="CH13" s="27">
        <v>6034.0581513400002</v>
      </c>
      <c r="CI13" s="27">
        <v>3930.0158267999996</v>
      </c>
      <c r="CJ13" s="27">
        <v>2663.84632534</v>
      </c>
      <c r="CK13" s="27">
        <v>5893.678026309999</v>
      </c>
      <c r="CL13" s="27">
        <v>1193.5935535599999</v>
      </c>
      <c r="CM13" s="27">
        <v>1135.15319656</v>
      </c>
      <c r="CN13" s="27">
        <v>2371.570795043483</v>
      </c>
      <c r="CO13" s="27">
        <v>2516.7067563800006</v>
      </c>
      <c r="CP13" s="28">
        <f>+SUM(CD13:CO13)</f>
        <v>34277.480498313482</v>
      </c>
      <c r="CQ13" s="27">
        <v>2502.5492031643639</v>
      </c>
      <c r="CR13" s="27">
        <v>929.61954293653389</v>
      </c>
      <c r="CS13" s="27">
        <v>1216.13281087</v>
      </c>
      <c r="CT13" s="27">
        <v>745.41476313999999</v>
      </c>
      <c r="CU13" s="27">
        <v>982.96661297000003</v>
      </c>
      <c r="CV13" s="27">
        <v>972.62128786000005</v>
      </c>
      <c r="CW13" s="27">
        <v>2496.4643711599997</v>
      </c>
      <c r="CX13" s="27">
        <v>2936.3485552800003</v>
      </c>
      <c r="CY13" s="27">
        <v>2573.46569559</v>
      </c>
      <c r="CZ13" s="27">
        <v>701.77577649</v>
      </c>
      <c r="DA13" s="27">
        <v>2023.8019555799999</v>
      </c>
      <c r="DB13" s="27">
        <v>5133.3916169599997</v>
      </c>
      <c r="DC13" s="28">
        <f>+SUM(CQ13:DB13)</f>
        <v>23214.552192000898</v>
      </c>
      <c r="DD13" s="27">
        <v>3757.1447609300003</v>
      </c>
      <c r="DE13" s="27">
        <v>1029.32036002</v>
      </c>
      <c r="DF13" s="27">
        <v>3111.5921347800004</v>
      </c>
      <c r="DG13" s="27">
        <v>329.18515015999998</v>
      </c>
      <c r="DH13" s="27">
        <v>952.69178879000003</v>
      </c>
      <c r="DI13" s="27">
        <v>558.14974396000002</v>
      </c>
      <c r="DJ13" s="27">
        <v>1106.8242979199999</v>
      </c>
      <c r="DK13" s="27">
        <v>1026.8040778299999</v>
      </c>
      <c r="DL13" s="27">
        <v>0</v>
      </c>
      <c r="DM13" s="27">
        <v>0</v>
      </c>
      <c r="DN13" s="27">
        <v>656.43247038999993</v>
      </c>
      <c r="DO13" s="27">
        <v>2797.3186835200004</v>
      </c>
      <c r="DP13" s="28">
        <f>+SUM(DD13:DO13)</f>
        <v>15325.463468300004</v>
      </c>
      <c r="DQ13" s="27">
        <v>1004.38188722</v>
      </c>
      <c r="DR13" s="27">
        <v>577.53902935999997</v>
      </c>
      <c r="DS13" s="27">
        <v>0</v>
      </c>
      <c r="DT13" s="27">
        <v>61.919149349999998</v>
      </c>
      <c r="DU13" s="27">
        <v>250.00320771</v>
      </c>
      <c r="DV13" s="27">
        <v>408.58584875000003</v>
      </c>
      <c r="DW13" s="27">
        <v>666.67645693999998</v>
      </c>
      <c r="DX13" s="27">
        <v>0</v>
      </c>
      <c r="DY13" s="27">
        <v>150.51257380000001</v>
      </c>
      <c r="DZ13" s="27">
        <v>75.61283263</v>
      </c>
      <c r="EA13" s="27">
        <v>751.94737112999996</v>
      </c>
      <c r="EB13" s="27">
        <v>117.93927192</v>
      </c>
      <c r="EC13" s="28">
        <f>+SUM(DQ13:EB13)</f>
        <v>4065.11762881</v>
      </c>
      <c r="ED13" s="27">
        <v>0</v>
      </c>
      <c r="EE13" s="27">
        <v>1802.5167032300001</v>
      </c>
      <c r="EF13" s="27">
        <v>0</v>
      </c>
      <c r="EG13" s="27">
        <v>0</v>
      </c>
      <c r="EH13" s="27">
        <v>963.06262971000001</v>
      </c>
      <c r="EI13" s="27">
        <v>0</v>
      </c>
      <c r="EJ13" s="27">
        <v>0</v>
      </c>
      <c r="EK13" s="27">
        <v>510.85968294999998</v>
      </c>
      <c r="EL13" s="27">
        <v>0</v>
      </c>
      <c r="EM13" s="27">
        <v>0</v>
      </c>
      <c r="EN13" s="27">
        <v>581.82647125000005</v>
      </c>
      <c r="EO13" s="27">
        <v>0</v>
      </c>
      <c r="EP13" s="28">
        <f>+SUM(ED13:EO13)</f>
        <v>3858.2654871400005</v>
      </c>
      <c r="EQ13" s="27">
        <v>0</v>
      </c>
      <c r="ER13" s="27">
        <v>225.72717803</v>
      </c>
      <c r="ES13" s="27">
        <v>0</v>
      </c>
      <c r="ET13" s="27">
        <v>0</v>
      </c>
      <c r="EU13" s="27">
        <v>719.22578724000005</v>
      </c>
      <c r="EV13" s="27">
        <v>0</v>
      </c>
      <c r="EW13" s="27">
        <v>0</v>
      </c>
      <c r="EX13" s="27">
        <v>32.151829679999999</v>
      </c>
      <c r="EY13" s="27">
        <v>0</v>
      </c>
      <c r="EZ13" s="27">
        <v>0</v>
      </c>
      <c r="FA13" s="27">
        <v>1505.76293373</v>
      </c>
      <c r="FB13" s="27">
        <v>0</v>
      </c>
      <c r="FC13" s="28">
        <f>+SUM(EQ13:FB13)</f>
        <v>2482.8677286800003</v>
      </c>
      <c r="FD13" s="27">
        <v>0</v>
      </c>
      <c r="FE13" s="27">
        <v>853.48378983999999</v>
      </c>
      <c r="FF13" s="27">
        <v>0</v>
      </c>
      <c r="FG13" s="27">
        <v>0</v>
      </c>
      <c r="FH13" s="27">
        <v>1894.3232679800001</v>
      </c>
      <c r="FI13" s="27">
        <v>0</v>
      </c>
      <c r="FJ13" s="27">
        <v>0</v>
      </c>
      <c r="FK13" s="27">
        <v>0</v>
      </c>
      <c r="FL13" s="27">
        <v>1510.1203851099999</v>
      </c>
      <c r="FM13" s="27">
        <v>0</v>
      </c>
      <c r="FN13" s="27">
        <v>0</v>
      </c>
      <c r="FO13" s="27">
        <v>0</v>
      </c>
      <c r="FP13" s="28">
        <f>+SUM(FD13:FO13)</f>
        <v>4257.9274429300003</v>
      </c>
      <c r="FQ13" s="27">
        <v>0</v>
      </c>
      <c r="FR13" s="27">
        <v>1175.3839074</v>
      </c>
      <c r="FS13" s="27">
        <v>0</v>
      </c>
      <c r="FT13" s="27">
        <v>0</v>
      </c>
      <c r="FU13" s="27">
        <v>0</v>
      </c>
      <c r="FV13" s="27">
        <v>0</v>
      </c>
      <c r="FW13" s="27">
        <v>830.68063018999999</v>
      </c>
      <c r="FX13" s="27">
        <v>0</v>
      </c>
      <c r="FY13" s="27">
        <v>0</v>
      </c>
      <c r="FZ13" s="27">
        <v>0</v>
      </c>
      <c r="GA13" s="27">
        <v>2002.07527562</v>
      </c>
      <c r="GB13" s="27">
        <v>0</v>
      </c>
      <c r="GC13" s="28">
        <f>+SUM(FQ13:GB13)</f>
        <v>4008.1398132099998</v>
      </c>
      <c r="GD13" s="27">
        <v>0</v>
      </c>
      <c r="GE13" s="27">
        <v>46366.095991550006</v>
      </c>
      <c r="GF13" s="27">
        <v>21882.712708389998</v>
      </c>
      <c r="GG13" s="27">
        <v>0</v>
      </c>
      <c r="GH13" s="27">
        <v>0</v>
      </c>
      <c r="GI13" s="27">
        <v>0</v>
      </c>
      <c r="GJ13" s="27">
        <v>0</v>
      </c>
      <c r="GK13" s="27">
        <v>0</v>
      </c>
      <c r="GL13" s="27">
        <v>0</v>
      </c>
      <c r="GM13" s="27">
        <v>0</v>
      </c>
      <c r="GN13" s="27">
        <v>0</v>
      </c>
      <c r="GO13" s="27">
        <v>0</v>
      </c>
      <c r="GP13" s="28">
        <f>+SUM(GD13:GO13)</f>
        <v>68248.808699940011</v>
      </c>
      <c r="GQ13" s="27">
        <v>0</v>
      </c>
      <c r="GR13" s="27">
        <v>0</v>
      </c>
      <c r="GS13" s="27">
        <v>0</v>
      </c>
      <c r="GT13" s="27">
        <v>0</v>
      </c>
      <c r="GU13" s="27">
        <v>0</v>
      </c>
      <c r="GV13" s="27">
        <v>0</v>
      </c>
      <c r="GW13" s="27">
        <v>0</v>
      </c>
      <c r="GX13" s="27">
        <v>0</v>
      </c>
      <c r="GY13" s="27">
        <v>0</v>
      </c>
      <c r="GZ13" s="27">
        <v>0</v>
      </c>
      <c r="HA13" s="27">
        <v>0</v>
      </c>
      <c r="HB13" s="27">
        <v>0</v>
      </c>
      <c r="HC13" s="28">
        <f>+SUM(GQ13:HB13)</f>
        <v>0</v>
      </c>
      <c r="HD13" s="27">
        <v>0</v>
      </c>
      <c r="HE13" s="27">
        <v>0</v>
      </c>
      <c r="HF13" s="27">
        <v>0</v>
      </c>
      <c r="HG13" s="27">
        <v>0</v>
      </c>
      <c r="HH13" s="27">
        <v>0</v>
      </c>
      <c r="HI13" s="27">
        <v>0</v>
      </c>
      <c r="HJ13" s="27">
        <v>0</v>
      </c>
      <c r="HK13" s="27">
        <v>0</v>
      </c>
      <c r="HL13" s="27">
        <v>0</v>
      </c>
      <c r="HM13" s="27">
        <v>0</v>
      </c>
      <c r="HN13" s="27">
        <v>0</v>
      </c>
      <c r="HO13" s="27">
        <v>0</v>
      </c>
      <c r="HP13" s="28">
        <f>+SUM(HD13:HO13)</f>
        <v>0</v>
      </c>
      <c r="HQ13" s="27">
        <v>0</v>
      </c>
      <c r="HR13" s="27">
        <v>0</v>
      </c>
      <c r="HS13" s="27">
        <v>0</v>
      </c>
      <c r="HT13" s="27">
        <v>0</v>
      </c>
      <c r="HU13" s="27">
        <v>0</v>
      </c>
      <c r="HV13" s="27">
        <v>0</v>
      </c>
      <c r="HW13" s="27">
        <v>0</v>
      </c>
      <c r="HX13" s="27">
        <v>0</v>
      </c>
      <c r="HY13" s="27">
        <v>0</v>
      </c>
      <c r="HZ13" s="27">
        <v>0</v>
      </c>
      <c r="IA13" s="27">
        <v>0</v>
      </c>
      <c r="IB13" s="27">
        <v>0</v>
      </c>
      <c r="IC13" s="28">
        <f>+SUM(HQ13:IB13)</f>
        <v>0</v>
      </c>
      <c r="ID13" s="27">
        <v>0</v>
      </c>
      <c r="IE13" s="27">
        <v>0</v>
      </c>
      <c r="IF13" s="27">
        <v>0</v>
      </c>
      <c r="IG13" s="27">
        <v>0</v>
      </c>
      <c r="IH13" s="27">
        <v>0</v>
      </c>
      <c r="II13" s="27">
        <v>0</v>
      </c>
      <c r="IJ13" s="27">
        <v>0</v>
      </c>
      <c r="IK13" s="27">
        <v>0</v>
      </c>
      <c r="IL13" s="27">
        <v>0</v>
      </c>
      <c r="IM13" s="27">
        <v>0</v>
      </c>
      <c r="IN13" s="27">
        <v>0</v>
      </c>
      <c r="IO13" s="27">
        <v>0</v>
      </c>
      <c r="IP13" s="28">
        <f>+SUM(ID13:IO13)</f>
        <v>0</v>
      </c>
      <c r="IQ13" s="27">
        <v>0</v>
      </c>
      <c r="IR13" s="27">
        <v>0</v>
      </c>
      <c r="IS13" s="27">
        <v>0</v>
      </c>
      <c r="IT13" s="27">
        <v>0</v>
      </c>
      <c r="IU13" s="27">
        <v>0</v>
      </c>
      <c r="IV13" s="27">
        <v>0</v>
      </c>
      <c r="IW13" s="27">
        <v>0</v>
      </c>
      <c r="IX13" s="27">
        <v>0</v>
      </c>
      <c r="IY13" s="28">
        <f>+SUM(IQ13:IX13)</f>
        <v>0</v>
      </c>
    </row>
    <row r="14" spans="1:262" s="11" customFormat="1" ht="20.100000000000001" customHeight="1" x14ac:dyDescent="0.25">
      <c r="A14" s="20" t="s">
        <v>15</v>
      </c>
      <c r="B14" s="27">
        <v>49.878501610000008</v>
      </c>
      <c r="C14" s="27">
        <v>55.830387340000001</v>
      </c>
      <c r="D14" s="27">
        <v>114.71302079999998</v>
      </c>
      <c r="E14" s="27">
        <v>40.73459102999999</v>
      </c>
      <c r="F14" s="27">
        <v>63.071246799999997</v>
      </c>
      <c r="G14" s="27">
        <v>82.969081779999982</v>
      </c>
      <c r="H14" s="27">
        <v>89.380651430000015</v>
      </c>
      <c r="I14" s="27">
        <v>48.986749030000013</v>
      </c>
      <c r="J14" s="27">
        <v>69.615422080000002</v>
      </c>
      <c r="K14" s="27">
        <v>71.088791791412987</v>
      </c>
      <c r="L14" s="27">
        <v>45.327294171424001</v>
      </c>
      <c r="M14" s="27">
        <v>58.16324796</v>
      </c>
      <c r="N14" s="27">
        <v>38.042623130000003</v>
      </c>
      <c r="O14" s="27">
        <v>45.507561559999999</v>
      </c>
      <c r="P14" s="28">
        <f>SUM(D14:O14)</f>
        <v>767.60028156283704</v>
      </c>
      <c r="Q14" s="27">
        <v>128.36924429000001</v>
      </c>
      <c r="R14" s="27">
        <v>70.616726489999991</v>
      </c>
      <c r="S14" s="27">
        <v>89.212360869999998</v>
      </c>
      <c r="T14" s="27">
        <v>108.38836220000002</v>
      </c>
      <c r="U14" s="27">
        <v>97.05946406999999</v>
      </c>
      <c r="V14" s="27">
        <v>52.11513257</v>
      </c>
      <c r="W14" s="27">
        <v>183.01201899999998</v>
      </c>
      <c r="X14" s="27">
        <v>114.92701567</v>
      </c>
      <c r="Y14" s="27">
        <v>114.70768192999999</v>
      </c>
      <c r="Z14" s="27">
        <v>259.07329602000004</v>
      </c>
      <c r="AA14" s="27">
        <v>180.00678600999998</v>
      </c>
      <c r="AB14" s="27">
        <v>160.76592633999999</v>
      </c>
      <c r="AC14" s="28">
        <f>SUM(Q14:AB14)</f>
        <v>1558.2540154600001</v>
      </c>
      <c r="AD14" s="27">
        <v>193.62383130000001</v>
      </c>
      <c r="AE14" s="27">
        <v>101.71841736</v>
      </c>
      <c r="AF14" s="27">
        <v>179.02267673999998</v>
      </c>
      <c r="AG14" s="27">
        <v>131.68817393</v>
      </c>
      <c r="AH14" s="27">
        <v>150.49772121999999</v>
      </c>
      <c r="AI14" s="27">
        <v>111.35774476999998</v>
      </c>
      <c r="AJ14" s="27">
        <v>150.74574335</v>
      </c>
      <c r="AK14" s="27">
        <v>92.4838764</v>
      </c>
      <c r="AL14" s="27">
        <v>94.155123049999986</v>
      </c>
      <c r="AM14" s="27">
        <v>141.69489379999999</v>
      </c>
      <c r="AN14" s="27">
        <v>89.329249830000009</v>
      </c>
      <c r="AO14" s="27">
        <v>126.24439460000001</v>
      </c>
      <c r="AP14" s="28">
        <f>SUM(AD14:AO14)</f>
        <v>1562.56184635</v>
      </c>
      <c r="AQ14" s="27">
        <v>212.68956020000002</v>
      </c>
      <c r="AR14" s="27">
        <v>114.36899070000001</v>
      </c>
      <c r="AS14" s="27">
        <v>202.93162234999997</v>
      </c>
      <c r="AT14" s="27">
        <v>152.62467545999999</v>
      </c>
      <c r="AU14" s="27">
        <v>169.64107487000001</v>
      </c>
      <c r="AV14" s="27">
        <v>146.49633061999998</v>
      </c>
      <c r="AW14" s="27">
        <v>267.825155</v>
      </c>
      <c r="AX14" s="27">
        <v>259.53294332000002</v>
      </c>
      <c r="AY14" s="27">
        <v>153.75320869999999</v>
      </c>
      <c r="AZ14" s="27">
        <v>150.18101494000001</v>
      </c>
      <c r="BA14" s="27">
        <v>192.04156166000001</v>
      </c>
      <c r="BB14" s="27">
        <v>213.53421194000003</v>
      </c>
      <c r="BC14" s="28">
        <f>SUM(AQ14:BB14)</f>
        <v>2235.62034976</v>
      </c>
      <c r="BD14" s="27">
        <v>360.25578446000003</v>
      </c>
      <c r="BE14" s="27">
        <v>241.45213851000003</v>
      </c>
      <c r="BF14" s="27">
        <v>317.24181241000002</v>
      </c>
      <c r="BG14" s="27">
        <v>274.21815380999999</v>
      </c>
      <c r="BH14" s="27">
        <v>360.90653806000006</v>
      </c>
      <c r="BI14" s="27">
        <v>264.87315144000002</v>
      </c>
      <c r="BJ14" s="27">
        <v>318.71437305000001</v>
      </c>
      <c r="BK14" s="27">
        <v>315.34685442999995</v>
      </c>
      <c r="BL14" s="27">
        <v>279.65741824999998</v>
      </c>
      <c r="BM14" s="27">
        <v>230.19584293000003</v>
      </c>
      <c r="BN14" s="27">
        <v>267.02758424000001</v>
      </c>
      <c r="BO14" s="27">
        <v>309.68366615999997</v>
      </c>
      <c r="BP14" s="28">
        <f>SUM(BD14:BO14)</f>
        <v>3539.5733177500001</v>
      </c>
      <c r="BQ14" s="27">
        <v>616.25850830999991</v>
      </c>
      <c r="BR14" s="27">
        <v>286.34915858999994</v>
      </c>
      <c r="BS14" s="27">
        <v>454.14019322000007</v>
      </c>
      <c r="BT14" s="27">
        <v>240.54966946000002</v>
      </c>
      <c r="BU14" s="27">
        <v>303.48161671000003</v>
      </c>
      <c r="BV14" s="27">
        <v>266.53801465000004</v>
      </c>
      <c r="BW14" s="27">
        <v>225.91673797000001</v>
      </c>
      <c r="BX14" s="27">
        <v>372.18639070999996</v>
      </c>
      <c r="BY14" s="27">
        <v>220.19774434999999</v>
      </c>
      <c r="BZ14" s="27">
        <v>251.63541734</v>
      </c>
      <c r="CA14" s="27">
        <v>217.57464288</v>
      </c>
      <c r="CB14" s="27">
        <v>205.21392148999996</v>
      </c>
      <c r="CC14" s="28">
        <f>SUM(BQ14:CB14)</f>
        <v>3660.0420156800001</v>
      </c>
      <c r="CD14" s="27">
        <v>630.59913643000004</v>
      </c>
      <c r="CE14" s="27">
        <v>236.075031</v>
      </c>
      <c r="CF14" s="27">
        <v>270.2858703</v>
      </c>
      <c r="CG14" s="27">
        <v>229.64430904000002</v>
      </c>
      <c r="CH14" s="27">
        <v>189.29292773</v>
      </c>
      <c r="CI14" s="27">
        <v>362.59645955999997</v>
      </c>
      <c r="CJ14" s="27">
        <v>270.52212718000004</v>
      </c>
      <c r="CK14" s="27">
        <v>273.36833567999997</v>
      </c>
      <c r="CL14" s="27">
        <v>252.14690285999998</v>
      </c>
      <c r="CM14" s="27">
        <v>235.80727725</v>
      </c>
      <c r="CN14" s="27">
        <v>313.88419675</v>
      </c>
      <c r="CO14" s="27">
        <v>413.85348986000002</v>
      </c>
      <c r="CP14" s="28">
        <f>+SUM(CD14:CO14)</f>
        <v>3678.07606364</v>
      </c>
      <c r="CQ14" s="27">
        <v>665.91672061999998</v>
      </c>
      <c r="CR14" s="27">
        <v>404.96974954999996</v>
      </c>
      <c r="CS14" s="27">
        <v>457.58143773000006</v>
      </c>
      <c r="CT14" s="27">
        <v>380.14534940999994</v>
      </c>
      <c r="CU14" s="27">
        <v>399.65750513</v>
      </c>
      <c r="CV14" s="27">
        <v>308.10595881999996</v>
      </c>
      <c r="CW14" s="27">
        <v>403.38298908000002</v>
      </c>
      <c r="CX14" s="27">
        <v>380.15261530999993</v>
      </c>
      <c r="CY14" s="27">
        <v>381.67750462999999</v>
      </c>
      <c r="CZ14" s="27">
        <v>382.95735822999995</v>
      </c>
      <c r="DA14" s="27">
        <v>364.09735644</v>
      </c>
      <c r="DB14" s="27">
        <v>464.22718617999999</v>
      </c>
      <c r="DC14" s="28">
        <f>+SUM(CQ14:DB14)</f>
        <v>4992.8717311299997</v>
      </c>
      <c r="DD14" s="27">
        <v>645.75700766999989</v>
      </c>
      <c r="DE14" s="27">
        <v>544.43522717999997</v>
      </c>
      <c r="DF14" s="27">
        <v>1001.7715077600001</v>
      </c>
      <c r="DG14" s="27">
        <v>828.64001256999995</v>
      </c>
      <c r="DH14" s="27">
        <v>2411.0266309900003</v>
      </c>
      <c r="DI14" s="27">
        <v>1156.5332105599998</v>
      </c>
      <c r="DJ14" s="27">
        <v>1212.30059525</v>
      </c>
      <c r="DK14" s="27">
        <v>1377.87928726</v>
      </c>
      <c r="DL14" s="27">
        <v>1518.06942295</v>
      </c>
      <c r="DM14" s="27">
        <v>1123.6681526</v>
      </c>
      <c r="DN14" s="27">
        <v>1071.59242406</v>
      </c>
      <c r="DO14" s="27">
        <v>1564.8478149600001</v>
      </c>
      <c r="DP14" s="28">
        <f>+SUM(DD14:DO14)</f>
        <v>14456.521293809999</v>
      </c>
      <c r="DQ14" s="27">
        <v>1847.6551773599999</v>
      </c>
      <c r="DR14" s="27">
        <v>1377.8339744300001</v>
      </c>
      <c r="DS14" s="27">
        <v>1750.50385755</v>
      </c>
      <c r="DT14" s="27">
        <v>1388.3224093700001</v>
      </c>
      <c r="DU14" s="27">
        <v>1433.4873578000002</v>
      </c>
      <c r="DV14" s="27">
        <v>1284.81122684</v>
      </c>
      <c r="DW14" s="27">
        <v>1579.1844086999999</v>
      </c>
      <c r="DX14" s="27">
        <v>1542.7672555399997</v>
      </c>
      <c r="DY14" s="27">
        <v>1393.4967449399999</v>
      </c>
      <c r="DZ14" s="27">
        <v>1885.0129391399998</v>
      </c>
      <c r="EA14" s="27">
        <v>1840.7534400099998</v>
      </c>
      <c r="EB14" s="27">
        <v>1715.2501295</v>
      </c>
      <c r="EC14" s="28">
        <f>+SUM(DQ14:EB14)</f>
        <v>19039.07892118</v>
      </c>
      <c r="ED14" s="27">
        <v>2474.4926792499996</v>
      </c>
      <c r="EE14" s="27">
        <v>1779.7205677500001</v>
      </c>
      <c r="EF14" s="27">
        <v>2648.15335624</v>
      </c>
      <c r="EG14" s="27">
        <v>1491.29298139</v>
      </c>
      <c r="EH14" s="27">
        <v>1927.8446678600001</v>
      </c>
      <c r="EI14" s="27">
        <v>1451.5392924400001</v>
      </c>
      <c r="EJ14" s="27">
        <v>1376.71284709</v>
      </c>
      <c r="EK14" s="27">
        <v>1349.32033376</v>
      </c>
      <c r="EL14" s="27">
        <v>1358.61213288</v>
      </c>
      <c r="EM14" s="27">
        <v>1332.7607289100001</v>
      </c>
      <c r="EN14" s="27">
        <v>1093.8810366600001</v>
      </c>
      <c r="EO14" s="27">
        <v>1099.26892174</v>
      </c>
      <c r="EP14" s="28">
        <f>+SUM(ED14:EO14)</f>
        <v>19383.599545970003</v>
      </c>
      <c r="EQ14" s="27">
        <v>1760.95656588</v>
      </c>
      <c r="ER14" s="27">
        <v>1185.7768873300001</v>
      </c>
      <c r="ES14" s="27">
        <v>1125.2412980900001</v>
      </c>
      <c r="ET14" s="27">
        <v>1004.0606372899999</v>
      </c>
      <c r="EU14" s="27">
        <v>1246.3765238499998</v>
      </c>
      <c r="EV14" s="27">
        <v>1349.8545953499997</v>
      </c>
      <c r="EW14" s="27">
        <v>1189.46173933</v>
      </c>
      <c r="EX14" s="27">
        <v>1610.65934315</v>
      </c>
      <c r="EY14" s="27">
        <v>1761.21348373</v>
      </c>
      <c r="EZ14" s="27">
        <v>2084.8078832299998</v>
      </c>
      <c r="FA14" s="27">
        <v>1744.74969455</v>
      </c>
      <c r="FB14" s="27">
        <v>1882.6175586900001</v>
      </c>
      <c r="FC14" s="28">
        <f>+SUM(EQ14:FB14)</f>
        <v>17945.776210470001</v>
      </c>
      <c r="FD14" s="27">
        <v>2829.2189649500001</v>
      </c>
      <c r="FE14" s="27">
        <v>2304.2621423999999</v>
      </c>
      <c r="FF14" s="27">
        <v>2366.5965861</v>
      </c>
      <c r="FG14" s="27">
        <v>2609.7426442599999</v>
      </c>
      <c r="FH14" s="27">
        <v>5860.8096222199993</v>
      </c>
      <c r="FI14" s="27">
        <v>2679.9377787000003</v>
      </c>
      <c r="FJ14" s="27">
        <v>2656.7507145499994</v>
      </c>
      <c r="FK14" s="27">
        <v>1975.1039724999998</v>
      </c>
      <c r="FL14" s="27">
        <v>1923.3708059200001</v>
      </c>
      <c r="FM14" s="27">
        <v>1992.56243378</v>
      </c>
      <c r="FN14" s="27">
        <v>1865.27792398</v>
      </c>
      <c r="FO14" s="27">
        <v>1818.9748450399998</v>
      </c>
      <c r="FP14" s="28">
        <f>+SUM(FD14:FO14)</f>
        <v>30882.608434400001</v>
      </c>
      <c r="FQ14" s="27">
        <v>2046.6938651299999</v>
      </c>
      <c r="FR14" s="27">
        <v>1393.71733627</v>
      </c>
      <c r="FS14" s="27">
        <v>3018.7286763600005</v>
      </c>
      <c r="FT14" s="27">
        <v>2965.6629429699997</v>
      </c>
      <c r="FU14" s="27">
        <v>2125.2944580900003</v>
      </c>
      <c r="FV14" s="27">
        <v>2051.9832039099997</v>
      </c>
      <c r="FW14" s="27">
        <v>1969.9628452699999</v>
      </c>
      <c r="FX14" s="27">
        <v>2221.9896747299999</v>
      </c>
      <c r="FY14" s="27">
        <v>1855.6432783200003</v>
      </c>
      <c r="FZ14" s="27">
        <v>1536.4724643</v>
      </c>
      <c r="GA14" s="27">
        <v>1546.73141964</v>
      </c>
      <c r="GB14" s="27">
        <v>1881.8586335700002</v>
      </c>
      <c r="GC14" s="28">
        <f>+SUM(FQ14:GB14)</f>
        <v>24614.73879856</v>
      </c>
      <c r="GD14" s="27">
        <v>2292.7463102399997</v>
      </c>
      <c r="GE14" s="27">
        <v>1813.70949324</v>
      </c>
      <c r="GF14" s="27">
        <v>3392.2658994500002</v>
      </c>
      <c r="GG14" s="27">
        <v>2171.2794191500002</v>
      </c>
      <c r="GH14" s="27">
        <v>2122.8323399700002</v>
      </c>
      <c r="GI14" s="27">
        <v>2341.8913409799998</v>
      </c>
      <c r="GJ14" s="27">
        <v>2460.16760832</v>
      </c>
      <c r="GK14" s="27">
        <v>3312.4305787699996</v>
      </c>
      <c r="GL14" s="27">
        <v>2882.8943923799998</v>
      </c>
      <c r="GM14" s="27">
        <v>3506.0224710000002</v>
      </c>
      <c r="GN14" s="27">
        <v>2993.2688057600003</v>
      </c>
      <c r="GO14" s="27">
        <v>3293.8546143399999</v>
      </c>
      <c r="GP14" s="28">
        <f>+SUM(GD14:GO14)</f>
        <v>32583.3632736</v>
      </c>
      <c r="GQ14" s="27">
        <v>3503.7501012500002</v>
      </c>
      <c r="GR14" s="27">
        <v>3186.73954658</v>
      </c>
      <c r="GS14" s="27">
        <v>4132.0676485399999</v>
      </c>
      <c r="GT14" s="27">
        <v>3124.99580216</v>
      </c>
      <c r="GU14" s="27">
        <v>3906.9427864899999</v>
      </c>
      <c r="GV14" s="27">
        <v>3667.57380474</v>
      </c>
      <c r="GW14" s="27">
        <v>4006.6286499000003</v>
      </c>
      <c r="GX14" s="27">
        <v>3835.2076473400002</v>
      </c>
      <c r="GY14" s="27">
        <v>3198.3259185300003</v>
      </c>
      <c r="GZ14" s="27">
        <v>2801.0425300099996</v>
      </c>
      <c r="HA14" s="27">
        <v>3590.9562406499999</v>
      </c>
      <c r="HB14" s="27">
        <v>3463.2740914900005</v>
      </c>
      <c r="HC14" s="28">
        <f>+SUM(GQ14:HB14)</f>
        <v>42417.504767680002</v>
      </c>
      <c r="HD14" s="27">
        <v>4368.4932618000003</v>
      </c>
      <c r="HE14" s="27">
        <v>3622.2954848100003</v>
      </c>
      <c r="HF14" s="27">
        <v>6841.9825024800011</v>
      </c>
      <c r="HG14" s="27">
        <v>3798.9374905999994</v>
      </c>
      <c r="HH14" s="27">
        <v>4314.3463291500002</v>
      </c>
      <c r="HI14" s="27">
        <v>3811.9099442500001</v>
      </c>
      <c r="HJ14" s="27">
        <v>3573.0569115199996</v>
      </c>
      <c r="HK14" s="27">
        <v>3659.1917273099998</v>
      </c>
      <c r="HL14" s="27">
        <v>3198.7650087900001</v>
      </c>
      <c r="HM14" s="27">
        <v>3325.8791752799993</v>
      </c>
      <c r="HN14" s="27">
        <v>2880.27039276</v>
      </c>
      <c r="HO14" s="27">
        <v>3229.4028114399998</v>
      </c>
      <c r="HP14" s="28">
        <f>+SUM(HD14:HO14)</f>
        <v>46624.531040189999</v>
      </c>
      <c r="HQ14" s="27">
        <v>3649.2696869599999</v>
      </c>
      <c r="HR14" s="27">
        <v>3040.3132428100002</v>
      </c>
      <c r="HS14" s="27">
        <v>3530.5489196000003</v>
      </c>
      <c r="HT14" s="27">
        <v>5717.0327424799998</v>
      </c>
      <c r="HU14" s="27">
        <v>5078.8737577699994</v>
      </c>
      <c r="HV14" s="27">
        <v>5682.70171458</v>
      </c>
      <c r="HW14" s="27">
        <v>6433.0007844699994</v>
      </c>
      <c r="HX14" s="27">
        <v>8013.8004751299995</v>
      </c>
      <c r="HY14" s="27">
        <v>6770.5748693099986</v>
      </c>
      <c r="HZ14" s="27">
        <v>5647.4405498100004</v>
      </c>
      <c r="IA14" s="27">
        <v>5763.7165822099996</v>
      </c>
      <c r="IB14" s="27">
        <v>8551.1724495099988</v>
      </c>
      <c r="IC14" s="28">
        <f>+SUM(HQ14:IB14)</f>
        <v>67878.44577464</v>
      </c>
      <c r="ID14" s="27">
        <v>8763.3987207800001</v>
      </c>
      <c r="IE14" s="27">
        <v>5762.7159800500003</v>
      </c>
      <c r="IF14" s="27">
        <v>11690.174487839999</v>
      </c>
      <c r="IG14" s="27">
        <v>7090.9722252399988</v>
      </c>
      <c r="IH14" s="27">
        <v>6858.2197216499999</v>
      </c>
      <c r="II14" s="27">
        <v>5766.7578008700002</v>
      </c>
      <c r="IJ14" s="27">
        <v>7262.05783041</v>
      </c>
      <c r="IK14" s="27">
        <v>6385.63264256</v>
      </c>
      <c r="IL14" s="27">
        <v>6859.2406089999995</v>
      </c>
      <c r="IM14" s="27">
        <v>7174.0851532899997</v>
      </c>
      <c r="IN14" s="27">
        <v>6193.81442685</v>
      </c>
      <c r="IO14" s="27">
        <v>9475.6813667599999</v>
      </c>
      <c r="IP14" s="28">
        <f>+SUM(ID14:IO14)</f>
        <v>89282.750965299987</v>
      </c>
      <c r="IQ14" s="27">
        <v>12024.551454840001</v>
      </c>
      <c r="IR14" s="27">
        <v>8252.3301429499988</v>
      </c>
      <c r="IS14" s="27">
        <v>14791.278297339999</v>
      </c>
      <c r="IT14" s="27">
        <v>8552.2628257199995</v>
      </c>
      <c r="IU14" s="27">
        <v>10217.145751389999</v>
      </c>
      <c r="IV14" s="27">
        <v>14764.62976369</v>
      </c>
      <c r="IW14" s="27">
        <v>11666.305145599999</v>
      </c>
      <c r="IX14" s="27">
        <v>15003.68845672</v>
      </c>
      <c r="IY14" s="28">
        <f>+SUM(IQ14:IX14)</f>
        <v>95272.191838249986</v>
      </c>
    </row>
    <row r="15" spans="1:262" s="11" customFormat="1" ht="20.100000000000001" hidden="1" customHeight="1" x14ac:dyDescent="0.25">
      <c r="A15" s="20" t="s">
        <v>22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8">
        <f>SUM(D15:O15)</f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8">
        <f>SUM(Q15:AB15)</f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8">
        <f>SUM(AD15:AO15)</f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8">
        <f>SUM(AQ15:BB15)</f>
        <v>0</v>
      </c>
      <c r="BD15" s="27">
        <v>0</v>
      </c>
      <c r="BE15" s="27">
        <v>0</v>
      </c>
      <c r="BF15" s="27">
        <v>0</v>
      </c>
      <c r="BG15" s="27">
        <v>0.84543179999999996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8">
        <f>SUM(BD15:BO15)</f>
        <v>0.84543179999999996</v>
      </c>
      <c r="BQ15" s="27">
        <v>-85.817403400000003</v>
      </c>
      <c r="BR15" s="27">
        <v>0</v>
      </c>
      <c r="BS15" s="27">
        <v>-84.894754030000001</v>
      </c>
      <c r="BT15" s="27">
        <v>0</v>
      </c>
      <c r="BU15" s="27">
        <v>0</v>
      </c>
      <c r="BV15" s="27">
        <v>0</v>
      </c>
      <c r="BW15" s="27">
        <v>0</v>
      </c>
      <c r="BX15" s="27">
        <v>0</v>
      </c>
      <c r="BY15" s="27">
        <v>0</v>
      </c>
      <c r="BZ15" s="27">
        <v>0</v>
      </c>
      <c r="CA15" s="27">
        <v>0</v>
      </c>
      <c r="CB15" s="27">
        <v>0</v>
      </c>
      <c r="CC15" s="28">
        <f>SUM(BQ15:CB15)</f>
        <v>-170.71215742999999</v>
      </c>
      <c r="CD15" s="27">
        <v>0</v>
      </c>
      <c r="CE15" s="27">
        <v>0</v>
      </c>
      <c r="CF15" s="27">
        <v>0</v>
      </c>
      <c r="CG15" s="27">
        <v>0</v>
      </c>
      <c r="CH15" s="27">
        <v>0</v>
      </c>
      <c r="CI15" s="27">
        <v>0</v>
      </c>
      <c r="CJ15" s="27">
        <v>0</v>
      </c>
      <c r="CK15" s="27">
        <v>0</v>
      </c>
      <c r="CL15" s="27">
        <v>0</v>
      </c>
      <c r="CM15" s="27">
        <v>0</v>
      </c>
      <c r="CN15" s="27">
        <v>0</v>
      </c>
      <c r="CO15" s="27">
        <v>0</v>
      </c>
      <c r="CP15" s="28">
        <f>+SUM(CD15:CO15)</f>
        <v>0</v>
      </c>
      <c r="CQ15" s="27">
        <v>-826.65351902999998</v>
      </c>
      <c r="CR15" s="27">
        <v>0</v>
      </c>
      <c r="CS15" s="27">
        <v>0</v>
      </c>
      <c r="CT15" s="27">
        <v>0</v>
      </c>
      <c r="CU15" s="27">
        <v>0</v>
      </c>
      <c r="CV15" s="27">
        <v>0</v>
      </c>
      <c r="CW15" s="27">
        <v>0</v>
      </c>
      <c r="CX15" s="27">
        <v>-192.35391425999998</v>
      </c>
      <c r="CY15" s="27">
        <v>0</v>
      </c>
      <c r="CZ15" s="27">
        <v>0</v>
      </c>
      <c r="DA15" s="27">
        <v>0</v>
      </c>
      <c r="DB15" s="27">
        <v>0</v>
      </c>
      <c r="DC15" s="28">
        <f>+SUM(CQ15:DB15)</f>
        <v>-1019.00743329</v>
      </c>
      <c r="DD15" s="27">
        <v>0</v>
      </c>
      <c r="DE15" s="27">
        <v>0</v>
      </c>
      <c r="DF15" s="27">
        <v>0</v>
      </c>
      <c r="DG15" s="27">
        <v>0</v>
      </c>
      <c r="DH15" s="27">
        <v>0</v>
      </c>
      <c r="DI15" s="27">
        <v>0</v>
      </c>
      <c r="DJ15" s="27">
        <v>0</v>
      </c>
      <c r="DK15" s="27">
        <v>0</v>
      </c>
      <c r="DL15" s="27">
        <v>0</v>
      </c>
      <c r="DM15" s="27">
        <v>0</v>
      </c>
      <c r="DN15" s="27">
        <v>0</v>
      </c>
      <c r="DO15" s="27">
        <v>0</v>
      </c>
      <c r="DP15" s="28">
        <f>+SUM(DD15:DO15)</f>
        <v>0</v>
      </c>
      <c r="DQ15" s="27">
        <v>0</v>
      </c>
      <c r="DR15" s="27">
        <v>0</v>
      </c>
      <c r="DS15" s="27">
        <v>0</v>
      </c>
      <c r="DT15" s="27">
        <v>0</v>
      </c>
      <c r="DU15" s="27">
        <v>0</v>
      </c>
      <c r="DV15" s="27">
        <v>0</v>
      </c>
      <c r="DW15" s="27">
        <v>0</v>
      </c>
      <c r="DX15" s="27">
        <v>0</v>
      </c>
      <c r="DY15" s="27">
        <v>0</v>
      </c>
      <c r="DZ15" s="27">
        <v>0</v>
      </c>
      <c r="EA15" s="27">
        <v>0</v>
      </c>
      <c r="EB15" s="27">
        <v>0</v>
      </c>
      <c r="EC15" s="28">
        <f>+SUM(DQ15:EB15)</f>
        <v>0</v>
      </c>
      <c r="ED15" s="27">
        <v>0</v>
      </c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8">
        <f>+SUM(ED15:EE15)</f>
        <v>0</v>
      </c>
      <c r="EQ15" s="27">
        <v>0</v>
      </c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8">
        <f>+SUM(EG15:EH15)</f>
        <v>0</v>
      </c>
      <c r="FD15" s="27">
        <v>0</v>
      </c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8">
        <f>+SUM(EJ15:EK15)</f>
        <v>0</v>
      </c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8">
        <f>+SUM(EM15:EN15)</f>
        <v>0</v>
      </c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8">
        <f>+SUM(EP15:EQ15)</f>
        <v>0</v>
      </c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8">
        <f>+SUM(ES15:ET15)</f>
        <v>0</v>
      </c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8">
        <f>+SUM(EV15:EW15)</f>
        <v>0</v>
      </c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8">
        <f>+SUM(EY15:EZ15)</f>
        <v>0</v>
      </c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8">
        <f>+SUM(FB15:FC15)</f>
        <v>0</v>
      </c>
      <c r="IQ15" s="27"/>
      <c r="IR15" s="27"/>
      <c r="IS15" s="27"/>
      <c r="IT15" s="27"/>
      <c r="IU15" s="27"/>
      <c r="IV15" s="27"/>
      <c r="IW15" s="27"/>
      <c r="IX15" s="27"/>
      <c r="IY15" s="28">
        <f>+SUM(FE15:FF15)</f>
        <v>0</v>
      </c>
    </row>
    <row r="16" spans="1:262" s="11" customFormat="1" ht="12" customHeight="1" x14ac:dyDescent="0.25">
      <c r="A16" s="3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</row>
    <row r="17" spans="1:259" s="21" customFormat="1" ht="20.100000000000001" customHeight="1" x14ac:dyDescent="0.25">
      <c r="A17" s="34" t="s">
        <v>21</v>
      </c>
      <c r="B17" s="32">
        <f>B18+B19</f>
        <v>4051.2478328134152</v>
      </c>
      <c r="C17" s="32">
        <f>C18+C19</f>
        <v>810.673</v>
      </c>
      <c r="D17" s="32">
        <f>D18+D19</f>
        <v>1093.8999999999999</v>
      </c>
      <c r="E17" s="32">
        <f>E18+E19</f>
        <v>1806.856522431618</v>
      </c>
      <c r="F17" s="32">
        <f>F18+F19</f>
        <v>1098.2897756114889</v>
      </c>
      <c r="G17" s="32">
        <f>G18+G19</f>
        <v>1129.6358826784731</v>
      </c>
      <c r="H17" s="32">
        <f>H18+H19</f>
        <v>970.740907957216</v>
      </c>
      <c r="I17" s="32">
        <f>I18+I19</f>
        <v>1000.302446552605</v>
      </c>
      <c r="J17" s="32">
        <f>J18+J19</f>
        <v>59.152933291640991</v>
      </c>
      <c r="K17" s="32">
        <f>K18+K19</f>
        <v>50.194185791878006</v>
      </c>
      <c r="L17" s="32">
        <f>L18+L19</f>
        <v>84.563484048605986</v>
      </c>
      <c r="M17" s="32">
        <f>M18+M19</f>
        <v>52.408130501392002</v>
      </c>
      <c r="N17" s="32">
        <f>N18+N19</f>
        <v>84.716169862766009</v>
      </c>
      <c r="O17" s="32">
        <f>O18+O19</f>
        <v>43.185854642372995</v>
      </c>
      <c r="P17" s="33">
        <f>SUM(D17:O17)</f>
        <v>7473.9462933700579</v>
      </c>
      <c r="Q17" s="32">
        <f>SUM(Q18:Q19)</f>
        <v>14.740472523001001</v>
      </c>
      <c r="R17" s="32">
        <f>SUM(R18:R19)</f>
        <v>33.418299985334002</v>
      </c>
      <c r="S17" s="32">
        <f>SUM(S18:S19)</f>
        <v>4.5288958450969998</v>
      </c>
      <c r="T17" s="32">
        <f>SUM(T18:T19)</f>
        <v>84.056067925851991</v>
      </c>
      <c r="U17" s="32">
        <f>SUM(U18:U19)</f>
        <v>1407.674038434021</v>
      </c>
      <c r="V17" s="32">
        <f>SUM(V18:V19)</f>
        <v>38.369964430486</v>
      </c>
      <c r="W17" s="32">
        <f>SUM(W18:W19)</f>
        <v>83.542590110113963</v>
      </c>
      <c r="X17" s="32">
        <f>SUM(X18:X19)</f>
        <v>15.309847226593002</v>
      </c>
      <c r="Y17" s="32">
        <f>SUM(Y18:Y19)</f>
        <v>42.570926170351001</v>
      </c>
      <c r="Z17" s="32">
        <f>SUM(Z18:Z19)</f>
        <v>63.280143200305993</v>
      </c>
      <c r="AA17" s="32">
        <f>SUM(AA18:AA19)</f>
        <v>12.386556805702</v>
      </c>
      <c r="AB17" s="32">
        <f>SUM(AB18:AB19)</f>
        <v>410.98584353351708</v>
      </c>
      <c r="AC17" s="33">
        <f>SUM(Q17:AB17)</f>
        <v>2210.8636461903739</v>
      </c>
      <c r="AD17" s="32">
        <f>SUM(AD18:AD19)</f>
        <v>2308.1834419008919</v>
      </c>
      <c r="AE17" s="32">
        <f>SUM(AE18:AE19)</f>
        <v>15.929716278136</v>
      </c>
      <c r="AF17" s="32">
        <f>SUM(AF18:AF19)</f>
        <v>24.125481152233</v>
      </c>
      <c r="AG17" s="32">
        <f>SUM(AG18:AG19)</f>
        <v>34.190477438106996</v>
      </c>
      <c r="AH17" s="32">
        <f>SUM(AH18:AH19)</f>
        <v>1654.0404247123899</v>
      </c>
      <c r="AI17" s="32">
        <f>SUM(AI18:AI19)</f>
        <v>37.256344863892991</v>
      </c>
      <c r="AJ17" s="32">
        <f>SUM(AJ18:AJ19)</f>
        <v>15.425450389950999</v>
      </c>
      <c r="AK17" s="32">
        <f>SUM(AK18:AK19)</f>
        <v>1071.179141009942</v>
      </c>
      <c r="AL17" s="32">
        <f>SUM(AL18:AL19)</f>
        <v>26.458257196919</v>
      </c>
      <c r="AM17" s="32">
        <f>SUM(AM18:AM19)</f>
        <v>2218.2896874243652</v>
      </c>
      <c r="AN17" s="32">
        <f>SUM(AN18:AN19)</f>
        <v>10.827460883841002</v>
      </c>
      <c r="AO17" s="32">
        <f>SUM(AO18:AO19)</f>
        <v>1260.946702684304</v>
      </c>
      <c r="AP17" s="33">
        <f>SUM(AD17:AO17)</f>
        <v>8676.852585934972</v>
      </c>
      <c r="AQ17" s="32">
        <f>SUM(AQ18:AQ19)</f>
        <v>8.848676977477</v>
      </c>
      <c r="AR17" s="32">
        <f>SUM(AR18:AR19)</f>
        <v>13.071272145165999</v>
      </c>
      <c r="AS17" s="32">
        <f>SUM(AS18:AS19)</f>
        <v>12.187754697772</v>
      </c>
      <c r="AT17" s="32">
        <f>SUM(AT18:AT19)</f>
        <v>1408.7654907054109</v>
      </c>
      <c r="AU17" s="32">
        <f>SUM(AU18:AU19)</f>
        <v>9.626994669758</v>
      </c>
      <c r="AV17" s="32">
        <f>SUM(AV18:AV19)</f>
        <v>1598.3204842506541</v>
      </c>
      <c r="AW17" s="32">
        <f>SUM(AW18:AW19)</f>
        <v>16.77350621475</v>
      </c>
      <c r="AX17" s="32">
        <f>SUM(AX18:AX19)</f>
        <v>1501.6090247192569</v>
      </c>
      <c r="AY17" s="32">
        <f>SUM(AY18:AY19)</f>
        <v>1043.7054745687922</v>
      </c>
      <c r="AZ17" s="32">
        <f>SUM(AZ18:AZ19)</f>
        <v>1304.9361283377898</v>
      </c>
      <c r="BA17" s="32">
        <f>SUM(BA18:BA19)</f>
        <v>380.27306889800997</v>
      </c>
      <c r="BB17" s="32">
        <v>1738.197843563747</v>
      </c>
      <c r="BC17" s="33">
        <f>SUM(AQ17:BB17)</f>
        <v>9036.3157197485834</v>
      </c>
      <c r="BD17" s="32">
        <f>SUM(BD18:BD19)</f>
        <v>6.5132152784499997</v>
      </c>
      <c r="BE17" s="32">
        <f>SUM(BE18:BE19)</f>
        <v>13.065447515945001</v>
      </c>
      <c r="BF17" s="32">
        <f>SUM(BF18:BF19)</f>
        <v>10.849705941445</v>
      </c>
      <c r="BG17" s="32">
        <f>SUM(BG18:BG19)</f>
        <v>0.27269127679099997</v>
      </c>
      <c r="BH17" s="32">
        <f>SUM(BH18:BH19)</f>
        <v>90.152936025201996</v>
      </c>
      <c r="BI17" s="32">
        <f>SUM(BI18:BI19)</f>
        <v>487.30198473673198</v>
      </c>
      <c r="BJ17" s="32">
        <f>SUM(BJ18:BJ19)</f>
        <v>956.49347995194205</v>
      </c>
      <c r="BK17" s="32">
        <f>SUM(BK18:BK19)</f>
        <v>17.392345764919998</v>
      </c>
      <c r="BL17" s="32">
        <f>SUM(BL18:BL19)</f>
        <v>52.719521864553002</v>
      </c>
      <c r="BM17" s="32">
        <f>SUM(BM18:BM19)</f>
        <v>26.902490972479999</v>
      </c>
      <c r="BN17" s="32">
        <f>SUM(BN18:BN19)</f>
        <v>2735.938945196217</v>
      </c>
      <c r="BO17" s="32">
        <f>SUM(BO18:BO19)</f>
        <v>288.14513183460798</v>
      </c>
      <c r="BP17" s="33">
        <f>SUM(BD17:BO17)</f>
        <v>4685.7478963592857</v>
      </c>
      <c r="BQ17" s="32">
        <f>SUM(BQ18:BQ19)</f>
        <v>1750.6601843975002</v>
      </c>
      <c r="BR17" s="32">
        <f>SUM(BR18:BR19)</f>
        <v>7.15512134</v>
      </c>
      <c r="BS17" s="32">
        <f>SUM(BS18:BS19)</f>
        <v>16.085914149999997</v>
      </c>
      <c r="BT17" s="32">
        <f>SUM(BT18:BT19)</f>
        <v>3133.31846</v>
      </c>
      <c r="BU17" s="32">
        <f>SUM(BU18:BU19)</f>
        <v>109.47249346000001</v>
      </c>
      <c r="BV17" s="32">
        <f>SUM(BV18:BV19)</f>
        <v>160.34603051000002</v>
      </c>
      <c r="BW17" s="32">
        <f>SUM(BW18:BW19)</f>
        <v>179.00678002000001</v>
      </c>
      <c r="BX17" s="32">
        <f>SUM(BX18:BX19)</f>
        <v>102.39349602999999</v>
      </c>
      <c r="BY17" s="32">
        <f>SUM(BY18:BY19)</f>
        <v>2830.09518536</v>
      </c>
      <c r="BZ17" s="32">
        <f>SUM(BZ18:BZ19)</f>
        <v>230.29386568000001</v>
      </c>
      <c r="CA17" s="32">
        <f>SUM(CA18:CA19)</f>
        <v>381.17454626</v>
      </c>
      <c r="CB17" s="32">
        <f>SUM(CB18:CB19)</f>
        <v>754.77761481000005</v>
      </c>
      <c r="CC17" s="33">
        <f>SUM(BQ17:CB17)</f>
        <v>9654.7796920174987</v>
      </c>
      <c r="CD17" s="32">
        <f>SUM(CD18:CD19)</f>
        <v>17.000809150000002</v>
      </c>
      <c r="CE17" s="32">
        <f>SUM(CE18:CE19)</f>
        <v>0.52072235</v>
      </c>
      <c r="CF17" s="32">
        <f>SUM(CF18:CF19)</f>
        <v>9.2685287200000008</v>
      </c>
      <c r="CG17" s="32">
        <f>SUM(CG18:CG19)</f>
        <v>293.60260151</v>
      </c>
      <c r="CH17" s="32">
        <f>SUM(CH18:CH19)</f>
        <v>1727.347582400083</v>
      </c>
      <c r="CI17" s="32">
        <f>SUM(CI18:CI19)</f>
        <v>30.569710590000003</v>
      </c>
      <c r="CJ17" s="32">
        <f>SUM(CJ18:CJ19)</f>
        <v>783.76702720000003</v>
      </c>
      <c r="CK17" s="32">
        <f>SUM(CK18:CK19)</f>
        <v>87.408607539999991</v>
      </c>
      <c r="CL17" s="32">
        <f>SUM(CL18:CL19)</f>
        <v>45.164215339999998</v>
      </c>
      <c r="CM17" s="32">
        <f>SUM(CM18:CM19)</f>
        <v>184.09437417000001</v>
      </c>
      <c r="CN17" s="32">
        <f>SUM(CN18:CN19)</f>
        <v>7347.5873145600008</v>
      </c>
      <c r="CO17" s="32">
        <f>SUM(CO18:CO19)</f>
        <v>68.505654140000004</v>
      </c>
      <c r="CP17" s="33">
        <f>+SUM(CD17:CO17)</f>
        <v>10594.837147670085</v>
      </c>
      <c r="CQ17" s="32">
        <f>SUM(CQ18:CQ19)</f>
        <v>615.83078741999987</v>
      </c>
      <c r="CR17" s="32">
        <f>SUM(CR18:CR19)</f>
        <v>215.06799478000005</v>
      </c>
      <c r="CS17" s="32">
        <f>SUM(CS18:CS19)</f>
        <v>116.37395758999999</v>
      </c>
      <c r="CT17" s="32">
        <f>SUM(CT18:CT19)</f>
        <v>3130.6373400000002</v>
      </c>
      <c r="CU17" s="32">
        <f>SUM(CU18:CU19)</f>
        <v>137.71660185000002</v>
      </c>
      <c r="CV17" s="32">
        <f>SUM(CV18:CV19)</f>
        <v>40.376542000000001</v>
      </c>
      <c r="CW17" s="32">
        <f>SUM(CW18:CW19)</f>
        <v>47.293685769999996</v>
      </c>
      <c r="CX17" s="32">
        <f>SUM(CX18:CX19)</f>
        <v>7846.5961708799996</v>
      </c>
      <c r="CY17" s="32">
        <f>SUM(CY18:CY19)</f>
        <v>2518.2525340625002</v>
      </c>
      <c r="CZ17" s="32">
        <f>SUM(CZ18:CZ19)</f>
        <v>150.30897494000001</v>
      </c>
      <c r="DA17" s="32">
        <f>SUM(DA18:DA19)</f>
        <v>22.092141510000001</v>
      </c>
      <c r="DB17" s="32">
        <f>SUM(DB18:DB19)</f>
        <v>132.76336235000002</v>
      </c>
      <c r="DC17" s="33">
        <f>+SUM(CQ17:DB17)</f>
        <v>14973.3100931525</v>
      </c>
      <c r="DD17" s="32">
        <f>SUM(DD18:DD19)</f>
        <v>299.18567450999996</v>
      </c>
      <c r="DE17" s="32">
        <f>SUM(DE18:DE19)</f>
        <v>29.486045990000001</v>
      </c>
      <c r="DF17" s="32">
        <f>SUM(DF18:DF19)</f>
        <v>9.5707490899999996</v>
      </c>
      <c r="DG17" s="32">
        <f>SUM(DG18:DG19)</f>
        <v>11.207912590000001</v>
      </c>
      <c r="DH17" s="32">
        <f>SUM(DH18:DH19)</f>
        <v>0</v>
      </c>
      <c r="DI17" s="32">
        <f>SUM(DI18:DI19)</f>
        <v>81.630049700000015</v>
      </c>
      <c r="DJ17" s="32">
        <f>SUM(DJ18:DJ19)</f>
        <v>39.482064780000002</v>
      </c>
      <c r="DK17" s="32">
        <f>SUM(DK18:DK19)</f>
        <v>16.281498630000002</v>
      </c>
      <c r="DL17" s="32">
        <f>SUM(DL18:DL19)</f>
        <v>292.89343914999995</v>
      </c>
      <c r="DM17" s="32">
        <f>SUM(DM18:DM19)</f>
        <v>126.39155133999999</v>
      </c>
      <c r="DN17" s="32">
        <f>SUM(DN18:DN19)</f>
        <v>6.7971262000000001</v>
      </c>
      <c r="DO17" s="32">
        <f>SUM(DO18:DO19)</f>
        <v>20.879000529999999</v>
      </c>
      <c r="DP17" s="33">
        <f>+SUM(DD17:DO17)</f>
        <v>933.80511250999984</v>
      </c>
      <c r="DQ17" s="32">
        <f>SUM(DQ18:DQ19)</f>
        <v>1334.9895046000001</v>
      </c>
      <c r="DR17" s="32">
        <f>SUM(DR18:DR19)</f>
        <v>4.3379842671799995</v>
      </c>
      <c r="DS17" s="32">
        <f>SUM(DS18:DS19)</f>
        <v>5413.9731616812505</v>
      </c>
      <c r="DT17" s="32">
        <f>SUM(DT18:DT19)</f>
        <v>120.39735984003001</v>
      </c>
      <c r="DU17" s="32">
        <f>SUM(DU18:DU19)</f>
        <v>0.69953553737999985</v>
      </c>
      <c r="DV17" s="32">
        <f>SUM(DV18:DV19)</f>
        <v>247.49091406229999</v>
      </c>
      <c r="DW17" s="32">
        <f>SUM(DW18:DW19)</f>
        <v>4770.9625753625205</v>
      </c>
      <c r="DX17" s="32">
        <f>SUM(DX18:DX19)</f>
        <v>179.87599972034999</v>
      </c>
      <c r="DY17" s="32">
        <f>SUM(DY18:DY19)</f>
        <v>0</v>
      </c>
      <c r="DZ17" s="32">
        <f>SUM(DZ18:DZ19)</f>
        <v>27.046919067960001</v>
      </c>
      <c r="EA17" s="32">
        <f>SUM(EA18:EA19)</f>
        <v>36.604348258400002</v>
      </c>
      <c r="EB17" s="32">
        <f>SUM(EB18:EB19)</f>
        <v>990.30597095931012</v>
      </c>
      <c r="EC17" s="33">
        <f>+SUM(DQ17:EB17)</f>
        <v>13126.684273356681</v>
      </c>
      <c r="ED17" s="32">
        <f>SUM(ED18:ED19)</f>
        <v>496.36022578929999</v>
      </c>
      <c r="EE17" s="32">
        <f>SUM(EE18:EE19)</f>
        <v>23.960335537199999</v>
      </c>
      <c r="EF17" s="32">
        <f>SUM(EF18:EF19)</f>
        <v>3810.6915107167201</v>
      </c>
      <c r="EG17" s="32">
        <f>SUM(EG18:EG19)</f>
        <v>4.8472139096600007</v>
      </c>
      <c r="EH17" s="32">
        <f>SUM(EH18:EH19)</f>
        <v>37.954479625540003</v>
      </c>
      <c r="EI17" s="32">
        <f>SUM(EI18:EI19)</f>
        <v>514.48101829231996</v>
      </c>
      <c r="EJ17" s="32">
        <f>SUM(EJ18:EJ19)</f>
        <v>68.15227522408</v>
      </c>
      <c r="EK17" s="32">
        <f>SUM(EK18:EK19)</f>
        <v>227.34935447350003</v>
      </c>
      <c r="EL17" s="32">
        <f>SUM(EL18:EL19)</f>
        <v>251.54820211012998</v>
      </c>
      <c r="EM17" s="32">
        <f>SUM(EM18:EM19)</f>
        <v>9465.9011264785604</v>
      </c>
      <c r="EN17" s="32">
        <f>SUM(EN18:EN19)</f>
        <v>3.31138367388</v>
      </c>
      <c r="EO17" s="32">
        <f>SUM(EO18:EO19)</f>
        <v>995.03008944650992</v>
      </c>
      <c r="EP17" s="33">
        <f>+SUM(ED17:EO17)</f>
        <v>15899.587215277399</v>
      </c>
      <c r="EQ17" s="32">
        <f>SUM(EQ18:EQ19)</f>
        <v>5452.0213709790996</v>
      </c>
      <c r="ER17" s="32">
        <f>SUM(ER18:ER19)</f>
        <v>0.45835999999999999</v>
      </c>
      <c r="ES17" s="32">
        <f>SUM(ES18:ES19)</f>
        <v>15.269835897309999</v>
      </c>
      <c r="ET17" s="32">
        <f>SUM(ET18:ET19)</f>
        <v>37.106329467110001</v>
      </c>
      <c r="EU17" s="32">
        <f>SUM(EU18:EU19)</f>
        <v>198.73578634681999</v>
      </c>
      <c r="EV17" s="32">
        <f>SUM(EV18:EV19)</f>
        <v>59.955188121830005</v>
      </c>
      <c r="EW17" s="32">
        <f>SUM(EW18:EW19)</f>
        <v>21.751345939099998</v>
      </c>
      <c r="EX17" s="32">
        <f>SUM(EX18:EX19)</f>
        <v>159.19876069444999</v>
      </c>
      <c r="EY17" s="32">
        <f>SUM(EY18:EY19)</f>
        <v>255.12591760063</v>
      </c>
      <c r="EZ17" s="32">
        <f>SUM(EZ18:EZ19)</f>
        <v>178.45270926442001</v>
      </c>
      <c r="FA17" s="32">
        <f>SUM(FA18:FA19)</f>
        <v>456.96047394059002</v>
      </c>
      <c r="FB17" s="32">
        <f>SUM(FB18:FB19)</f>
        <v>959.37583556709001</v>
      </c>
      <c r="FC17" s="33">
        <f>+SUM(EQ17:FB17)</f>
        <v>7794.4119138184506</v>
      </c>
      <c r="FD17" s="32">
        <f>SUM(FD18:FD19)</f>
        <v>514.97317717986004</v>
      </c>
      <c r="FE17" s="32">
        <f>SUM(FE18:FE19)</f>
        <v>0.51818859638000003</v>
      </c>
      <c r="FF17" s="32">
        <f>SUM(FF18:FF19)</f>
        <v>5953.8902934015005</v>
      </c>
      <c r="FG17" s="32">
        <f>SUM(FG18:FG19)</f>
        <v>-12.95628340585</v>
      </c>
      <c r="FH17" s="32">
        <f>SUM(FH18:FH19)</f>
        <v>2.5865445542700001</v>
      </c>
      <c r="FI17" s="32">
        <f>SUM(FI18:FI19)</f>
        <v>71.891204312019994</v>
      </c>
      <c r="FJ17" s="32">
        <f>SUM(FJ18:FJ19)</f>
        <v>45.410332225269997</v>
      </c>
      <c r="FK17" s="32">
        <f>SUM(FK18:FK19)</f>
        <v>153.66352799488999</v>
      </c>
      <c r="FL17" s="32">
        <f>SUM(FL18:FL19)</f>
        <v>86.659919757089995</v>
      </c>
      <c r="FM17" s="32">
        <f>SUM(FM18:FM19)</f>
        <v>262.33716814668003</v>
      </c>
      <c r="FN17" s="32">
        <f>SUM(FN18:FN19)</f>
        <v>12702.3313595</v>
      </c>
      <c r="FO17" s="32">
        <f>SUM(FO18:FO19)</f>
        <v>1387.0498031905499</v>
      </c>
      <c r="FP17" s="33">
        <f>+SUM(FD17:FO17)</f>
        <v>21168.355235452662</v>
      </c>
      <c r="FQ17" s="32">
        <f>SUM(FQ18:FQ19)</f>
        <v>114.03515758665</v>
      </c>
      <c r="FR17" s="32">
        <f>SUM(FR18:FR19)</f>
        <v>132.59913399999999</v>
      </c>
      <c r="FS17" s="42">
        <f>SUM(FS18:FS19)</f>
        <v>0</v>
      </c>
      <c r="FT17" s="42">
        <f>SUM(FT18:FT19)</f>
        <v>75.937350416800001</v>
      </c>
      <c r="FU17" s="42">
        <f>SUM(FU18:FU19)</f>
        <v>9.7303393307599997</v>
      </c>
      <c r="FV17" s="42">
        <f>SUM(FV18:FV19)</f>
        <v>17192.247740458839</v>
      </c>
      <c r="FW17" s="42">
        <f>SUM(FW18:FW19)</f>
        <v>35.389465758310003</v>
      </c>
      <c r="FX17" s="42">
        <f>SUM(FX18:FX19)</f>
        <v>312.79065600146004</v>
      </c>
      <c r="FY17" s="42">
        <f>SUM(FY18:FY19)</f>
        <v>266.74811595557003</v>
      </c>
      <c r="FZ17" s="42">
        <f>SUM(FZ18:FZ19)</f>
        <v>0</v>
      </c>
      <c r="GA17" s="42">
        <f>SUM(GA18:GA19)</f>
        <v>168.13689569542001</v>
      </c>
      <c r="GB17" s="42">
        <f>SUM(GB18:GB19)</f>
        <v>14120.224640100638</v>
      </c>
      <c r="GC17" s="33">
        <f>+SUM(FQ17:GB17)</f>
        <v>32427.839495304448</v>
      </c>
      <c r="GD17" s="32">
        <f>SUM(GD18:GD19)</f>
        <v>0</v>
      </c>
      <c r="GE17" s="32">
        <f>SUM(GE18:GE19)</f>
        <v>7238.0940140583798</v>
      </c>
      <c r="GF17" s="32">
        <f>SUM(GF18:GF19)</f>
        <v>245.98901625498002</v>
      </c>
      <c r="GG17" s="32">
        <f>SUM(GG18:GG19)</f>
        <v>212.91715354094001</v>
      </c>
      <c r="GH17" s="32">
        <f>SUM(GH18:GH19)</f>
        <v>17.82837036079</v>
      </c>
      <c r="GI17" s="32">
        <f>SUM(GI18:GI19)</f>
        <v>6607.0139216680209</v>
      </c>
      <c r="GJ17" s="32">
        <f>SUM(GJ18:GJ19)</f>
        <v>11926.14719970529</v>
      </c>
      <c r="GK17" s="32">
        <f>SUM(GK18:GK19)</f>
        <v>1338.8956620749</v>
      </c>
      <c r="GL17" s="32">
        <f>SUM(GL18:GL19)</f>
        <v>152.94501743088</v>
      </c>
      <c r="GM17" s="32">
        <f>SUM(GM18:GM19)</f>
        <v>0</v>
      </c>
      <c r="GN17" s="32">
        <f>SUM(GN18:GN19)</f>
        <v>142.48539313116001</v>
      </c>
      <c r="GO17" s="32">
        <f>SUM(GO18:GO19)</f>
        <v>699.19429809514008</v>
      </c>
      <c r="GP17" s="33">
        <f>+SUM(GD17:GO17)</f>
        <v>28581.51004632048</v>
      </c>
      <c r="GQ17" s="32">
        <f>SUM(GQ18:GQ19)</f>
        <v>47.544008817540004</v>
      </c>
      <c r="GR17" s="32">
        <f>SUM(GR18:GR19)</f>
        <v>80.319999999999993</v>
      </c>
      <c r="GS17" s="32">
        <f>SUM(GS18:GS19)</f>
        <v>5.6388833430999998</v>
      </c>
      <c r="GT17" s="32">
        <f>SUM(GT18:GT19)</f>
        <v>0</v>
      </c>
      <c r="GU17" s="32">
        <f>SUM(GU18:GU19)</f>
        <v>4233.7947672815098</v>
      </c>
      <c r="GV17" s="32">
        <f>SUM(GV18:GV19)</f>
        <v>1380.7019322762299</v>
      </c>
      <c r="GW17" s="32">
        <f>SUM(GW18:GW19)</f>
        <v>200.11267140563001</v>
      </c>
      <c r="GX17" s="32">
        <f>SUM(GX18:GX19)</f>
        <v>488.23342636411002</v>
      </c>
      <c r="GY17" s="32">
        <f>SUM(GY18:GY19)</f>
        <v>110.41082225472999</v>
      </c>
      <c r="GZ17" s="32">
        <f>SUM(GZ18:GZ19)</f>
        <v>0</v>
      </c>
      <c r="HA17" s="32">
        <f>SUM(HA18:HA19)</f>
        <v>1933.1625074399999</v>
      </c>
      <c r="HB17" s="32">
        <f>SUM(HB18:HB19)</f>
        <v>995.80765412999995</v>
      </c>
      <c r="HC17" s="33">
        <f>+SUM(GQ17:HB17)</f>
        <v>9475.726673312849</v>
      </c>
      <c r="HD17" s="32">
        <f>SUM(HD18:HD19)</f>
        <v>96.819343610000004</v>
      </c>
      <c r="HE17" s="32">
        <f>SUM(HE18:HE19)</f>
        <v>0</v>
      </c>
      <c r="HF17" s="32">
        <f>SUM(HF18:HF19)</f>
        <v>106.47</v>
      </c>
      <c r="HG17" s="32">
        <f>SUM(HG18:HG19)</f>
        <v>11078.1</v>
      </c>
      <c r="HH17" s="41">
        <f>SUM(HH18:HH19)</f>
        <v>141.81330489000001</v>
      </c>
      <c r="HI17" s="32">
        <f>SUM(HI18:HI19)</f>
        <v>161.64987244</v>
      </c>
      <c r="HJ17" s="32">
        <f>SUM(HJ18:HJ19)</f>
        <v>112.81728409999999</v>
      </c>
      <c r="HK17" s="32">
        <f>SUM(HK18:HK19)</f>
        <v>83.639232509999999</v>
      </c>
      <c r="HL17" s="32">
        <f>SUM(HL18:HL19)</f>
        <v>22.754158779999997</v>
      </c>
      <c r="HM17" s="32">
        <f>SUM(HM18:HM19)</f>
        <v>484.18900718999998</v>
      </c>
      <c r="HN17" s="32">
        <f>SUM(HN18:HN19)</f>
        <v>9966.6744026899996</v>
      </c>
      <c r="HO17" s="32">
        <f>SUM(HO18:HO19)</f>
        <v>5605.1716614699999</v>
      </c>
      <c r="HP17" s="33">
        <f>+SUM(HD17:HO17)</f>
        <v>27860.098267679998</v>
      </c>
      <c r="HQ17" s="32">
        <f>SUM(HQ18:HQ19)</f>
        <v>22128.263295689998</v>
      </c>
      <c r="HR17" s="32">
        <f>SUM(HR18:HR19)</f>
        <v>0</v>
      </c>
      <c r="HS17" s="32">
        <f>SUM(HS18:HS19)</f>
        <v>0</v>
      </c>
      <c r="HT17" s="32">
        <f>SUM(HT18:HT19)</f>
        <v>206.64807200000001</v>
      </c>
      <c r="HU17" s="32">
        <f>SUM(HU18:HU19)</f>
        <v>158.11379956000002</v>
      </c>
      <c r="HV17" s="32">
        <f>SUM(HV18:HV19)</f>
        <v>11289.125013340001</v>
      </c>
      <c r="HW17" s="32">
        <f>SUM(HW18:HW19)</f>
        <v>78.060515660000007</v>
      </c>
      <c r="HX17" s="32">
        <f>SUM(HX18:HX19)</f>
        <v>333.63470875999997</v>
      </c>
      <c r="HY17" s="32">
        <f>SUM(HY18:HY19)</f>
        <v>11.7824563</v>
      </c>
      <c r="HZ17" s="32">
        <f>SUM(HZ18:HZ19)</f>
        <v>4.4671501600000001</v>
      </c>
      <c r="IA17" s="32">
        <f>SUM(IA18:IA19)</f>
        <v>298.24526555</v>
      </c>
      <c r="IB17" s="32">
        <f>SUM(IB18:IB19)</f>
        <v>815.52779475</v>
      </c>
      <c r="IC17" s="33">
        <f>+SUM(HQ17:IB17)</f>
        <v>35323.868071770004</v>
      </c>
      <c r="ID17" s="32">
        <f>SUM(ID18:ID19)</f>
        <v>126.19768534000001</v>
      </c>
      <c r="IE17" s="32">
        <f>SUM(IE18:IE19)</f>
        <v>14482</v>
      </c>
      <c r="IF17" s="32">
        <f>SUM(IF18:IF19)</f>
        <v>36.367759999999997</v>
      </c>
      <c r="IG17" s="32">
        <f>SUM(IG18:IG19)</f>
        <v>169.24419245000001</v>
      </c>
      <c r="IH17" s="32">
        <f>SUM(IH18:IH19)</f>
        <v>8.6603630700000007</v>
      </c>
      <c r="II17" s="32">
        <f>SUM(II18:II19)</f>
        <v>15788.278974880001</v>
      </c>
      <c r="IJ17" s="32">
        <f>SUM(IJ18:IJ19)</f>
        <v>184.07022004000001</v>
      </c>
      <c r="IK17" s="32">
        <f>SUM(IK18:IK19)</f>
        <v>131.5850408</v>
      </c>
      <c r="IL17" s="32">
        <f>SUM(IL18:IL19)</f>
        <v>17655.033810749999</v>
      </c>
      <c r="IM17" s="32">
        <f>SUM(IM18:IM19)</f>
        <v>159.89201134000001</v>
      </c>
      <c r="IN17" s="32">
        <f>SUM(IN18:IN19)</f>
        <v>12299.305722359999</v>
      </c>
      <c r="IO17" s="32">
        <f>SUM(IO18:IO19)</f>
        <v>446.88147982999999</v>
      </c>
      <c r="IP17" s="33">
        <f>+SUM(ID17:IO17)</f>
        <v>61487.517260859997</v>
      </c>
      <c r="IQ17" s="32">
        <f>SUM(IQ18:IQ19)</f>
        <v>1305.5129902200001</v>
      </c>
      <c r="IR17" s="32">
        <f>SUM(IR18:IR19)</f>
        <v>23539.245298999998</v>
      </c>
      <c r="IS17" s="32">
        <f>SUM(IS18:IS19)</f>
        <v>6.8825298200000002</v>
      </c>
      <c r="IT17" s="32">
        <f>SUM(IT18:IT19)</f>
        <v>28867.754003710001</v>
      </c>
      <c r="IU17" s="32">
        <f>SUM(IU18:IU19)</f>
        <v>36.159603079999997</v>
      </c>
      <c r="IV17" s="32">
        <f>SUM(IV18:IV19)</f>
        <v>97.249457450000008</v>
      </c>
      <c r="IW17" s="32">
        <f>SUM(IW18:IW19)</f>
        <v>11.18700662</v>
      </c>
      <c r="IX17" s="32">
        <f>SUM(IX18:IX19)</f>
        <v>129.66583536000002</v>
      </c>
      <c r="IY17" s="33">
        <f>+SUM(IQ17:IX17)</f>
        <v>53993.656725259993</v>
      </c>
    </row>
    <row r="18" spans="1:259" s="11" customFormat="1" ht="20.100000000000001" customHeight="1" x14ac:dyDescent="0.25">
      <c r="A18" s="20" t="s">
        <v>9</v>
      </c>
      <c r="B18" s="27">
        <v>3243</v>
      </c>
      <c r="C18" s="27">
        <v>750</v>
      </c>
      <c r="D18" s="27">
        <v>1065.3499999999999</v>
      </c>
      <c r="E18" s="27">
        <v>1500</v>
      </c>
      <c r="F18" s="27">
        <v>750</v>
      </c>
      <c r="G18" s="27">
        <v>1064.8050000000001</v>
      </c>
      <c r="H18" s="27">
        <v>902.65546874277607</v>
      </c>
      <c r="I18" s="27">
        <v>892.52650000000006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8">
        <f>SUM(D18:O18)</f>
        <v>6175.3369687427758</v>
      </c>
      <c r="Q18" s="27">
        <v>0</v>
      </c>
      <c r="R18" s="27">
        <v>0</v>
      </c>
      <c r="S18" s="27">
        <v>0</v>
      </c>
      <c r="T18" s="27">
        <v>0</v>
      </c>
      <c r="U18" s="27">
        <v>947.3559669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8">
        <f>SUM(Q18:AB18)</f>
        <v>947.3559669</v>
      </c>
      <c r="AD18" s="27">
        <v>2304.5285791249999</v>
      </c>
      <c r="AE18" s="27">
        <v>0</v>
      </c>
      <c r="AF18" s="27">
        <v>0</v>
      </c>
      <c r="AG18" s="27">
        <v>0</v>
      </c>
      <c r="AH18" s="27">
        <v>1605.2069917326069</v>
      </c>
      <c r="AI18" s="27">
        <v>0</v>
      </c>
      <c r="AJ18" s="27">
        <v>0</v>
      </c>
      <c r="AK18" s="27">
        <v>1051.52764828</v>
      </c>
      <c r="AL18" s="27">
        <v>0</v>
      </c>
      <c r="AM18" s="27">
        <v>2200.8438000000001</v>
      </c>
      <c r="AN18" s="27">
        <v>0</v>
      </c>
      <c r="AO18" s="27">
        <v>1034.5140771086401</v>
      </c>
      <c r="AP18" s="28">
        <f>SUM(AD18:AO18)</f>
        <v>8196.6210962462483</v>
      </c>
      <c r="AQ18" s="27">
        <v>0</v>
      </c>
      <c r="AR18" s="27">
        <v>0</v>
      </c>
      <c r="AS18" s="27">
        <v>0</v>
      </c>
      <c r="AT18" s="27">
        <v>1373.8616545499999</v>
      </c>
      <c r="AU18" s="27">
        <v>0</v>
      </c>
      <c r="AV18" s="27">
        <v>0</v>
      </c>
      <c r="AW18" s="27">
        <v>0</v>
      </c>
      <c r="AX18" s="27">
        <v>1489.22570671875</v>
      </c>
      <c r="AY18" s="27">
        <v>1018.2582624500001</v>
      </c>
      <c r="AZ18" s="27">
        <v>1287.5670721317179</v>
      </c>
      <c r="BA18" s="27">
        <v>0</v>
      </c>
      <c r="BB18" s="27">
        <v>0</v>
      </c>
      <c r="BC18" s="28">
        <f>SUM(AQ18:BB18)</f>
        <v>5168.9126958504676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930.73989322285604</v>
      </c>
      <c r="BK18" s="27">
        <v>0</v>
      </c>
      <c r="BL18" s="27">
        <v>0</v>
      </c>
      <c r="BM18" s="27">
        <v>0</v>
      </c>
      <c r="BN18" s="27">
        <v>2259.2106246875001</v>
      </c>
      <c r="BO18" s="27">
        <v>0</v>
      </c>
      <c r="BP18" s="28">
        <f>SUM(BD18:BO18)</f>
        <v>3189.9505179103562</v>
      </c>
      <c r="BQ18" s="27">
        <v>1720.7952026175001</v>
      </c>
      <c r="BR18" s="27">
        <v>0</v>
      </c>
      <c r="BS18" s="27">
        <v>0</v>
      </c>
      <c r="BT18" s="27">
        <v>3116.1217499999998</v>
      </c>
      <c r="BU18" s="27">
        <v>0</v>
      </c>
      <c r="BV18" s="27">
        <v>0</v>
      </c>
      <c r="BW18" s="27">
        <v>0</v>
      </c>
      <c r="BX18" s="27">
        <v>0</v>
      </c>
      <c r="BY18" s="27">
        <v>2712.836448</v>
      </c>
      <c r="BZ18" s="27">
        <v>0</v>
      </c>
      <c r="CA18" s="27">
        <v>0</v>
      </c>
      <c r="CB18" s="27">
        <v>0</v>
      </c>
      <c r="CC18" s="28">
        <f>SUM(BQ18:CB18)</f>
        <v>7549.7534006175001</v>
      </c>
      <c r="CD18" s="27">
        <v>0</v>
      </c>
      <c r="CE18" s="27">
        <v>0</v>
      </c>
      <c r="CF18" s="27">
        <v>0</v>
      </c>
      <c r="CG18" s="27">
        <v>0</v>
      </c>
      <c r="CH18" s="27">
        <v>1618.3196540400829</v>
      </c>
      <c r="CI18" s="27">
        <v>0</v>
      </c>
      <c r="CJ18" s="27">
        <v>0</v>
      </c>
      <c r="CK18" s="27">
        <v>0</v>
      </c>
      <c r="CL18" s="27">
        <v>0</v>
      </c>
      <c r="CM18" s="27">
        <v>0</v>
      </c>
      <c r="CN18" s="27">
        <v>7284.5888765000009</v>
      </c>
      <c r="CO18" s="27">
        <v>0</v>
      </c>
      <c r="CP18" s="28">
        <f>+SUM(CD18:CO18)</f>
        <v>8902.908530540084</v>
      </c>
      <c r="CQ18" s="27">
        <v>0</v>
      </c>
      <c r="CR18" s="27">
        <v>0</v>
      </c>
      <c r="CS18" s="27">
        <v>0</v>
      </c>
      <c r="CT18" s="27">
        <v>3121.9263000000001</v>
      </c>
      <c r="CU18" s="27">
        <v>0</v>
      </c>
      <c r="CV18" s="27">
        <v>0</v>
      </c>
      <c r="CW18" s="27">
        <v>0</v>
      </c>
      <c r="CX18" s="27">
        <v>7842.3477760799997</v>
      </c>
      <c r="CY18" s="27">
        <v>2503.0226090625001</v>
      </c>
      <c r="CZ18" s="27">
        <v>0</v>
      </c>
      <c r="DA18" s="27">
        <v>0</v>
      </c>
      <c r="DB18" s="27">
        <v>0</v>
      </c>
      <c r="DC18" s="28">
        <f>+SUM(CQ18:DB18)</f>
        <v>13467.296685142501</v>
      </c>
      <c r="DD18" s="27">
        <v>0</v>
      </c>
      <c r="DE18" s="27">
        <v>0</v>
      </c>
      <c r="DF18" s="27">
        <v>0</v>
      </c>
      <c r="DG18" s="27">
        <v>0</v>
      </c>
      <c r="DH18" s="27">
        <v>0</v>
      </c>
      <c r="DI18" s="27">
        <v>0</v>
      </c>
      <c r="DJ18" s="27">
        <v>0</v>
      </c>
      <c r="DK18" s="27">
        <v>0</v>
      </c>
      <c r="DL18" s="27">
        <v>0</v>
      </c>
      <c r="DM18" s="27">
        <v>0</v>
      </c>
      <c r="DN18" s="27">
        <v>0</v>
      </c>
      <c r="DO18" s="27">
        <v>0</v>
      </c>
      <c r="DP18" s="28">
        <f>+SUM(DD18:DO18)</f>
        <v>0</v>
      </c>
      <c r="DQ18" s="27">
        <v>0</v>
      </c>
      <c r="DR18" s="27">
        <v>0</v>
      </c>
      <c r="DS18" s="27">
        <v>5415.6905550000001</v>
      </c>
      <c r="DT18" s="27">
        <v>0</v>
      </c>
      <c r="DU18" s="27">
        <v>0</v>
      </c>
      <c r="DV18" s="27">
        <v>0</v>
      </c>
      <c r="DW18" s="27">
        <v>4733.5849440000002</v>
      </c>
      <c r="DX18" s="27">
        <v>0</v>
      </c>
      <c r="DY18" s="27">
        <v>0</v>
      </c>
      <c r="DZ18" s="27">
        <v>0</v>
      </c>
      <c r="EA18" s="27">
        <v>0</v>
      </c>
      <c r="EB18" s="27">
        <v>0</v>
      </c>
      <c r="EC18" s="28">
        <f>+SUM(DQ18:EB18)</f>
        <v>10149.275498999999</v>
      </c>
      <c r="ED18" s="27">
        <v>0</v>
      </c>
      <c r="EE18" s="27">
        <v>0</v>
      </c>
      <c r="EF18" s="27">
        <v>3475.3401423300002</v>
      </c>
      <c r="EG18" s="27">
        <v>0</v>
      </c>
      <c r="EH18" s="27">
        <v>0</v>
      </c>
      <c r="EI18" s="27">
        <v>0</v>
      </c>
      <c r="EJ18" s="27">
        <v>0</v>
      </c>
      <c r="EK18" s="27">
        <v>0</v>
      </c>
      <c r="EL18" s="27">
        <v>0</v>
      </c>
      <c r="EM18" s="27">
        <v>9433.9977479999998</v>
      </c>
      <c r="EN18" s="27">
        <v>0</v>
      </c>
      <c r="EO18" s="27">
        <v>0</v>
      </c>
      <c r="EP18" s="28">
        <f>+SUM(ED18:EO18)</f>
        <v>12909.33789033</v>
      </c>
      <c r="EQ18" s="27">
        <v>4947.229593</v>
      </c>
      <c r="ER18" s="27">
        <v>0</v>
      </c>
      <c r="ES18" s="27">
        <v>0</v>
      </c>
      <c r="ET18" s="27">
        <v>0</v>
      </c>
      <c r="EU18" s="27">
        <v>0</v>
      </c>
      <c r="EV18" s="27">
        <v>0</v>
      </c>
      <c r="EW18" s="27">
        <v>0</v>
      </c>
      <c r="EX18" s="27">
        <v>0</v>
      </c>
      <c r="EY18" s="27">
        <v>0</v>
      </c>
      <c r="EZ18" s="27">
        <v>0</v>
      </c>
      <c r="FA18" s="27">
        <v>0</v>
      </c>
      <c r="FB18" s="27">
        <v>0</v>
      </c>
      <c r="FC18" s="28">
        <f>+SUM(EQ18:FB18)</f>
        <v>4947.229593</v>
      </c>
      <c r="FD18" s="27">
        <v>0</v>
      </c>
      <c r="FE18" s="27">
        <v>0</v>
      </c>
      <c r="FF18" s="27">
        <v>5954.7000000000007</v>
      </c>
      <c r="FG18" s="30">
        <v>0</v>
      </c>
      <c r="FH18" s="30">
        <v>0</v>
      </c>
      <c r="FI18" s="30">
        <v>0</v>
      </c>
      <c r="FJ18" s="30">
        <v>0</v>
      </c>
      <c r="FK18" s="30">
        <v>0</v>
      </c>
      <c r="FL18" s="30">
        <v>0</v>
      </c>
      <c r="FM18" s="30">
        <v>0</v>
      </c>
      <c r="FN18" s="27">
        <v>12702.3313595</v>
      </c>
      <c r="FO18" s="30">
        <v>0</v>
      </c>
      <c r="FP18" s="28">
        <f>+SUM(FD18:FO18)</f>
        <v>18657.031359500001</v>
      </c>
      <c r="FQ18" s="30">
        <v>0</v>
      </c>
      <c r="FR18" s="30">
        <v>0</v>
      </c>
      <c r="FS18" s="30">
        <v>0</v>
      </c>
      <c r="FT18" s="30">
        <v>0</v>
      </c>
      <c r="FU18" s="30">
        <v>0</v>
      </c>
      <c r="FV18" s="30">
        <v>17104.5</v>
      </c>
      <c r="FW18" s="30">
        <v>0</v>
      </c>
      <c r="FX18" s="30">
        <v>0</v>
      </c>
      <c r="FY18" s="30">
        <v>0</v>
      </c>
      <c r="FZ18" s="30">
        <v>0</v>
      </c>
      <c r="GA18" s="30">
        <v>0</v>
      </c>
      <c r="GB18" s="30">
        <v>13383.871244859998</v>
      </c>
      <c r="GC18" s="40">
        <f>+SUM(FQ18:GB18)</f>
        <v>30488.371244859998</v>
      </c>
      <c r="GD18" s="27">
        <v>0</v>
      </c>
      <c r="GE18" s="27">
        <v>0</v>
      </c>
      <c r="GF18" s="27">
        <v>0</v>
      </c>
      <c r="GG18" s="27">
        <v>0</v>
      </c>
      <c r="GH18" s="27">
        <v>0</v>
      </c>
      <c r="GI18" s="27">
        <v>0</v>
      </c>
      <c r="GJ18" s="27">
        <v>11798.99824375</v>
      </c>
      <c r="GK18" s="27">
        <v>0</v>
      </c>
      <c r="GL18" s="27">
        <v>0</v>
      </c>
      <c r="GM18" s="27">
        <v>0</v>
      </c>
      <c r="GN18" s="27">
        <v>0</v>
      </c>
      <c r="GO18" s="27">
        <v>0</v>
      </c>
      <c r="GP18" s="40">
        <f>+SUM(GD18:GO18)</f>
        <v>11798.99824375</v>
      </c>
      <c r="GQ18" s="27">
        <v>0</v>
      </c>
      <c r="GR18" s="27">
        <v>0</v>
      </c>
      <c r="GS18" s="27">
        <v>0</v>
      </c>
      <c r="GT18" s="27">
        <v>0</v>
      </c>
      <c r="GU18" s="27">
        <v>0</v>
      </c>
      <c r="GV18" s="27">
        <v>0</v>
      </c>
      <c r="GW18" s="27">
        <v>0</v>
      </c>
      <c r="GX18" s="27">
        <v>0</v>
      </c>
      <c r="GY18" s="27">
        <v>0</v>
      </c>
      <c r="GZ18" s="27">
        <v>0</v>
      </c>
      <c r="HA18" s="27">
        <v>0</v>
      </c>
      <c r="HB18" s="27">
        <v>0</v>
      </c>
      <c r="HC18" s="40">
        <f>+SUM(GQ18:HB18)</f>
        <v>0</v>
      </c>
      <c r="HD18" s="27">
        <v>0</v>
      </c>
      <c r="HE18" s="27">
        <v>0</v>
      </c>
      <c r="HF18" s="27">
        <v>0</v>
      </c>
      <c r="HG18" s="27">
        <v>11078.1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9775.7999999999993</v>
      </c>
      <c r="HO18" s="27">
        <v>0</v>
      </c>
      <c r="HP18" s="40">
        <f>+SUM(HD18:HO18)</f>
        <v>20853.900000000001</v>
      </c>
      <c r="HQ18" s="27">
        <v>22091.85</v>
      </c>
      <c r="HR18" s="27">
        <v>0</v>
      </c>
      <c r="HS18" s="27">
        <v>0</v>
      </c>
      <c r="HT18" s="27">
        <v>0</v>
      </c>
      <c r="HU18" s="27">
        <v>0</v>
      </c>
      <c r="HV18" s="27">
        <v>11013.2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40">
        <f>+SUM(HQ18:IB18)</f>
        <v>33105.050000000003</v>
      </c>
      <c r="ID18" s="27">
        <v>0</v>
      </c>
      <c r="IE18" s="27">
        <v>14482</v>
      </c>
      <c r="IF18" s="27">
        <v>0</v>
      </c>
      <c r="IG18" s="27">
        <v>0</v>
      </c>
      <c r="IH18" s="27">
        <v>0</v>
      </c>
      <c r="II18" s="27">
        <v>15408.9269618</v>
      </c>
      <c r="IJ18" s="27">
        <v>0</v>
      </c>
      <c r="IK18" s="27">
        <v>0</v>
      </c>
      <c r="IL18" s="27">
        <v>17646.141040499999</v>
      </c>
      <c r="IM18" s="27">
        <v>0</v>
      </c>
      <c r="IN18" s="27">
        <v>12067.557747299999</v>
      </c>
      <c r="IO18" s="27">
        <v>0</v>
      </c>
      <c r="IP18" s="40">
        <f>+SUM(ID18:IO18)</f>
        <v>59604.625749600003</v>
      </c>
      <c r="IQ18" s="27">
        <v>0</v>
      </c>
      <c r="IR18" s="27">
        <v>23532.366987559999</v>
      </c>
      <c r="IS18" s="27">
        <v>0</v>
      </c>
      <c r="IT18" s="27">
        <v>28868.95</v>
      </c>
      <c r="IU18" s="27">
        <v>0</v>
      </c>
      <c r="IV18" s="27">
        <v>0</v>
      </c>
      <c r="IW18" s="27">
        <v>0</v>
      </c>
      <c r="IX18" s="27">
        <v>0</v>
      </c>
      <c r="IY18" s="40">
        <f>+SUM(IQ18:IX18)</f>
        <v>52401.31698756</v>
      </c>
    </row>
    <row r="19" spans="1:259" s="11" customFormat="1" ht="20.100000000000001" customHeight="1" x14ac:dyDescent="0.25">
      <c r="A19" s="20" t="s">
        <v>8</v>
      </c>
      <c r="B19" s="27">
        <v>808.24783281341524</v>
      </c>
      <c r="C19" s="27">
        <v>60.673000000000002</v>
      </c>
      <c r="D19" s="27">
        <v>28.55</v>
      </c>
      <c r="E19" s="27">
        <v>306.85652243161798</v>
      </c>
      <c r="F19" s="27">
        <v>348.28977561148895</v>
      </c>
      <c r="G19" s="27">
        <v>64.830882678472989</v>
      </c>
      <c r="H19" s="27">
        <v>68.085439214439972</v>
      </c>
      <c r="I19" s="27">
        <v>107.77594655260498</v>
      </c>
      <c r="J19" s="27">
        <v>59.152933291640991</v>
      </c>
      <c r="K19" s="27">
        <v>50.194185791878006</v>
      </c>
      <c r="L19" s="27">
        <v>84.563484048605986</v>
      </c>
      <c r="M19" s="27">
        <v>52.408130501392002</v>
      </c>
      <c r="N19" s="27">
        <v>84.716169862766009</v>
      </c>
      <c r="O19" s="27">
        <v>43.185854642372995</v>
      </c>
      <c r="P19" s="28">
        <f>SUM(D19:O19)</f>
        <v>1298.6093246272808</v>
      </c>
      <c r="Q19" s="27">
        <v>14.740472523001001</v>
      </c>
      <c r="R19" s="27">
        <v>33.418299985334002</v>
      </c>
      <c r="S19" s="27">
        <v>4.5288958450969998</v>
      </c>
      <c r="T19" s="27">
        <v>84.056067925851991</v>
      </c>
      <c r="U19" s="27">
        <v>460.31807153402099</v>
      </c>
      <c r="V19" s="27">
        <v>38.369964430486</v>
      </c>
      <c r="W19" s="27">
        <v>83.542590110113963</v>
      </c>
      <c r="X19" s="27">
        <v>15.309847226593002</v>
      </c>
      <c r="Y19" s="27">
        <v>42.570926170351001</v>
      </c>
      <c r="Z19" s="27">
        <v>63.280143200305993</v>
      </c>
      <c r="AA19" s="27">
        <v>12.386556805702</v>
      </c>
      <c r="AB19" s="27">
        <v>410.98584353351708</v>
      </c>
      <c r="AC19" s="28">
        <f>SUM(Q19:AB19)</f>
        <v>1263.507679290374</v>
      </c>
      <c r="AD19" s="27">
        <v>3.654862775892064</v>
      </c>
      <c r="AE19" s="27">
        <v>15.929716278136</v>
      </c>
      <c r="AF19" s="27">
        <v>24.125481152233</v>
      </c>
      <c r="AG19" s="27">
        <v>34.190477438106996</v>
      </c>
      <c r="AH19" s="27">
        <v>48.833432979783005</v>
      </c>
      <c r="AI19" s="27">
        <v>37.256344863892991</v>
      </c>
      <c r="AJ19" s="27">
        <v>15.425450389950999</v>
      </c>
      <c r="AK19" s="27">
        <v>19.651492729941999</v>
      </c>
      <c r="AL19" s="27">
        <v>26.458257196919</v>
      </c>
      <c r="AM19" s="27">
        <v>17.445887424365004</v>
      </c>
      <c r="AN19" s="27">
        <v>10.827460883841002</v>
      </c>
      <c r="AO19" s="27">
        <v>226.43262557566399</v>
      </c>
      <c r="AP19" s="28">
        <f>SUM(AD19:AO19)</f>
        <v>480.23148968872601</v>
      </c>
      <c r="AQ19" s="27">
        <v>8.848676977477</v>
      </c>
      <c r="AR19" s="27">
        <v>13.071272145165999</v>
      </c>
      <c r="AS19" s="27">
        <v>12.187754697772</v>
      </c>
      <c r="AT19" s="27">
        <v>34.903836155411</v>
      </c>
      <c r="AU19" s="27">
        <v>9.626994669758</v>
      </c>
      <c r="AV19" s="27">
        <v>1598.3204842506541</v>
      </c>
      <c r="AW19" s="27">
        <v>16.77350621475</v>
      </c>
      <c r="AX19" s="27">
        <v>12.383318000507</v>
      </c>
      <c r="AY19" s="27">
        <v>25.447212118791995</v>
      </c>
      <c r="AZ19" s="27">
        <v>17.369056206072003</v>
      </c>
      <c r="BA19" s="27">
        <v>380.27306889800997</v>
      </c>
      <c r="BB19" s="27">
        <v>1738.197843563747</v>
      </c>
      <c r="BC19" s="28">
        <f>SUM(AQ19:BB19)</f>
        <v>3867.4030238981163</v>
      </c>
      <c r="BD19" s="27">
        <v>6.5132152784499997</v>
      </c>
      <c r="BE19" s="27">
        <v>13.065447515945001</v>
      </c>
      <c r="BF19" s="27">
        <v>10.849705941445</v>
      </c>
      <c r="BG19" s="27">
        <v>0.27269127679099997</v>
      </c>
      <c r="BH19" s="27">
        <v>90.152936025201996</v>
      </c>
      <c r="BI19" s="27">
        <v>487.30198473673198</v>
      </c>
      <c r="BJ19" s="27">
        <v>25.753586729086003</v>
      </c>
      <c r="BK19" s="27">
        <v>17.392345764919998</v>
      </c>
      <c r="BL19" s="27">
        <v>52.719521864553002</v>
      </c>
      <c r="BM19" s="27">
        <v>26.902490972479999</v>
      </c>
      <c r="BN19" s="27">
        <v>476.72832050871699</v>
      </c>
      <c r="BO19" s="27">
        <v>288.14513183460798</v>
      </c>
      <c r="BP19" s="28">
        <f>SUM(BD19:BO19)</f>
        <v>1495.7973784489291</v>
      </c>
      <c r="BQ19" s="27">
        <v>29.864981779999997</v>
      </c>
      <c r="BR19" s="27">
        <v>7.15512134</v>
      </c>
      <c r="BS19" s="27">
        <v>16.085914149999997</v>
      </c>
      <c r="BT19" s="27">
        <v>17.196709999999999</v>
      </c>
      <c r="BU19" s="27">
        <v>109.47249346000001</v>
      </c>
      <c r="BV19" s="27">
        <v>160.34603051000002</v>
      </c>
      <c r="BW19" s="27">
        <v>179.00678002000001</v>
      </c>
      <c r="BX19" s="27">
        <v>102.39349602999999</v>
      </c>
      <c r="BY19" s="27">
        <v>117.25873736</v>
      </c>
      <c r="BZ19" s="27">
        <v>230.29386568000001</v>
      </c>
      <c r="CA19" s="27">
        <v>381.17454626</v>
      </c>
      <c r="CB19" s="27">
        <v>754.77761481000005</v>
      </c>
      <c r="CC19" s="28">
        <f>SUM(BQ19:CB19)</f>
        <v>2105.0262914</v>
      </c>
      <c r="CD19" s="27">
        <v>17.000809150000002</v>
      </c>
      <c r="CE19" s="27">
        <v>0.52072235</v>
      </c>
      <c r="CF19" s="27">
        <v>9.2685287200000008</v>
      </c>
      <c r="CG19" s="27">
        <v>293.60260151</v>
      </c>
      <c r="CH19" s="27">
        <v>109.02792836</v>
      </c>
      <c r="CI19" s="27">
        <v>30.569710590000003</v>
      </c>
      <c r="CJ19" s="27">
        <v>783.76702720000003</v>
      </c>
      <c r="CK19" s="27">
        <v>87.408607539999991</v>
      </c>
      <c r="CL19" s="27">
        <v>45.164215339999998</v>
      </c>
      <c r="CM19" s="27">
        <v>184.09437417000001</v>
      </c>
      <c r="CN19" s="27">
        <v>62.998438059999998</v>
      </c>
      <c r="CO19" s="27">
        <v>68.505654140000004</v>
      </c>
      <c r="CP19" s="28">
        <f>+SUM(CD19:CO19)</f>
        <v>1691.92861713</v>
      </c>
      <c r="CQ19" s="27">
        <v>615.83078741999987</v>
      </c>
      <c r="CR19" s="27">
        <v>215.06799478000005</v>
      </c>
      <c r="CS19" s="27">
        <v>116.37395758999999</v>
      </c>
      <c r="CT19" s="27">
        <v>8.7110400000000006</v>
      </c>
      <c r="CU19" s="27">
        <v>137.71660185000002</v>
      </c>
      <c r="CV19" s="27">
        <v>40.376542000000001</v>
      </c>
      <c r="CW19" s="27">
        <v>47.293685769999996</v>
      </c>
      <c r="CX19" s="27">
        <v>4.2483947999999998</v>
      </c>
      <c r="CY19" s="27">
        <v>15.229925</v>
      </c>
      <c r="CZ19" s="27">
        <v>150.30897494000001</v>
      </c>
      <c r="DA19" s="27">
        <v>22.092141510000001</v>
      </c>
      <c r="DB19" s="27">
        <v>132.76336235000002</v>
      </c>
      <c r="DC19" s="28">
        <f>+SUM(CQ19:DB19)</f>
        <v>1506.0134080099999</v>
      </c>
      <c r="DD19" s="27">
        <v>299.18567450999996</v>
      </c>
      <c r="DE19" s="27">
        <v>29.486045990000001</v>
      </c>
      <c r="DF19" s="27">
        <v>9.5707490899999996</v>
      </c>
      <c r="DG19" s="27">
        <v>11.207912590000001</v>
      </c>
      <c r="DH19" s="27">
        <v>0</v>
      </c>
      <c r="DI19" s="27">
        <v>81.630049700000015</v>
      </c>
      <c r="DJ19" s="27">
        <v>39.482064780000002</v>
      </c>
      <c r="DK19" s="27">
        <v>16.281498630000002</v>
      </c>
      <c r="DL19" s="27">
        <v>292.89343914999995</v>
      </c>
      <c r="DM19" s="27">
        <v>126.39155133999999</v>
      </c>
      <c r="DN19" s="27">
        <v>6.7971262000000001</v>
      </c>
      <c r="DO19" s="27">
        <v>20.879000529999999</v>
      </c>
      <c r="DP19" s="28">
        <f>+SUM(DD19:DO19)</f>
        <v>933.80511250999984</v>
      </c>
      <c r="DQ19" s="27">
        <v>1334.9895046000001</v>
      </c>
      <c r="DR19" s="27">
        <v>4.3379842671799995</v>
      </c>
      <c r="DS19" s="27">
        <v>-1.7173933187500001</v>
      </c>
      <c r="DT19" s="27">
        <v>120.39735984003001</v>
      </c>
      <c r="DU19" s="27">
        <v>0.69953553737999985</v>
      </c>
      <c r="DV19" s="27">
        <v>247.49091406229999</v>
      </c>
      <c r="DW19" s="27">
        <v>37.377631362519999</v>
      </c>
      <c r="DX19" s="27">
        <v>179.87599972034999</v>
      </c>
      <c r="DY19" s="27">
        <v>0</v>
      </c>
      <c r="DZ19" s="27">
        <v>27.046919067960001</v>
      </c>
      <c r="EA19" s="27">
        <v>36.604348258400002</v>
      </c>
      <c r="EB19" s="27">
        <v>990.30597095931012</v>
      </c>
      <c r="EC19" s="28">
        <f>+SUM(DQ19:EB19)</f>
        <v>2977.4087743566802</v>
      </c>
      <c r="ED19" s="27">
        <v>496.36022578929999</v>
      </c>
      <c r="EE19" s="27">
        <v>23.960335537199999</v>
      </c>
      <c r="EF19" s="27">
        <v>335.35136838672003</v>
      </c>
      <c r="EG19" s="27">
        <v>4.8472139096600007</v>
      </c>
      <c r="EH19" s="27">
        <v>37.954479625540003</v>
      </c>
      <c r="EI19" s="27">
        <v>514.48101829231996</v>
      </c>
      <c r="EJ19" s="27">
        <v>68.15227522408</v>
      </c>
      <c r="EK19" s="27">
        <v>227.34935447350003</v>
      </c>
      <c r="EL19" s="27">
        <v>251.54820211012998</v>
      </c>
      <c r="EM19" s="27">
        <v>31.903378478560001</v>
      </c>
      <c r="EN19" s="27">
        <v>3.31138367388</v>
      </c>
      <c r="EO19" s="27">
        <v>995.03008944650992</v>
      </c>
      <c r="EP19" s="28">
        <f>+SUM(ED19:EO19)</f>
        <v>2990.2493249474001</v>
      </c>
      <c r="EQ19" s="27">
        <v>504.7917779791</v>
      </c>
      <c r="ER19" s="27">
        <v>0.45835999999999999</v>
      </c>
      <c r="ES19" s="27">
        <v>15.269835897309999</v>
      </c>
      <c r="ET19" s="27">
        <v>37.106329467110001</v>
      </c>
      <c r="EU19" s="27">
        <v>198.73578634681999</v>
      </c>
      <c r="EV19" s="27">
        <v>59.955188121830005</v>
      </c>
      <c r="EW19" s="27">
        <v>21.751345939099998</v>
      </c>
      <c r="EX19" s="27">
        <v>159.19876069444999</v>
      </c>
      <c r="EY19" s="27">
        <v>255.12591760063</v>
      </c>
      <c r="EZ19" s="27">
        <v>178.45270926442001</v>
      </c>
      <c r="FA19" s="27">
        <v>456.96047394059002</v>
      </c>
      <c r="FB19" s="27">
        <v>959.37583556709001</v>
      </c>
      <c r="FC19" s="28">
        <f>+SUM(EQ19:FB19)</f>
        <v>2847.1823208184501</v>
      </c>
      <c r="FD19" s="27">
        <v>514.97317717986004</v>
      </c>
      <c r="FE19" s="27">
        <v>0.51818859638000003</v>
      </c>
      <c r="FF19" s="27">
        <v>-0.80970659850000004</v>
      </c>
      <c r="FG19" s="27">
        <v>-12.95628340585</v>
      </c>
      <c r="FH19" s="27">
        <v>2.5865445542700001</v>
      </c>
      <c r="FI19" s="27">
        <v>71.891204312019994</v>
      </c>
      <c r="FJ19" s="27">
        <v>45.410332225269997</v>
      </c>
      <c r="FK19" s="27">
        <v>153.66352799488999</v>
      </c>
      <c r="FL19" s="27">
        <v>86.659919757089995</v>
      </c>
      <c r="FM19" s="27">
        <v>262.33716814668003</v>
      </c>
      <c r="FN19" s="27">
        <v>0</v>
      </c>
      <c r="FO19" s="27">
        <v>1387.0498031905499</v>
      </c>
      <c r="FP19" s="28">
        <f>+SUM(FD19:FO19)</f>
        <v>2511.3238759526598</v>
      </c>
      <c r="FQ19" s="27">
        <v>114.03515758665</v>
      </c>
      <c r="FR19" s="27">
        <v>132.59913399999999</v>
      </c>
      <c r="FS19" s="30">
        <v>0</v>
      </c>
      <c r="FT19" s="30">
        <v>75.937350416800001</v>
      </c>
      <c r="FU19" s="30">
        <v>9.7303393307599997</v>
      </c>
      <c r="FV19" s="30">
        <v>87.747740458839999</v>
      </c>
      <c r="FW19" s="30">
        <v>35.389465758310003</v>
      </c>
      <c r="FX19" s="30">
        <v>312.79065600146004</v>
      </c>
      <c r="FY19" s="30">
        <v>266.74811595557003</v>
      </c>
      <c r="FZ19" s="30">
        <v>0</v>
      </c>
      <c r="GA19" s="30">
        <v>168.13689569542001</v>
      </c>
      <c r="GB19" s="30">
        <v>736.35339524064</v>
      </c>
      <c r="GC19" s="28">
        <f>+SUM(FQ19:GB19)</f>
        <v>1939.46825044445</v>
      </c>
      <c r="GD19" s="27">
        <v>0</v>
      </c>
      <c r="GE19" s="27">
        <v>7238.0940140583798</v>
      </c>
      <c r="GF19" s="27">
        <v>245.98901625498002</v>
      </c>
      <c r="GG19" s="27">
        <v>212.91715354094001</v>
      </c>
      <c r="GH19" s="27">
        <v>17.82837036079</v>
      </c>
      <c r="GI19" s="27">
        <v>6607.0139216680209</v>
      </c>
      <c r="GJ19" s="27">
        <v>127.14895595528999</v>
      </c>
      <c r="GK19" s="27">
        <v>1338.8956620749</v>
      </c>
      <c r="GL19" s="27">
        <v>152.94501743088</v>
      </c>
      <c r="GM19" s="27">
        <v>0</v>
      </c>
      <c r="GN19" s="27">
        <v>142.48539313116001</v>
      </c>
      <c r="GO19" s="27">
        <v>699.19429809514008</v>
      </c>
      <c r="GP19" s="28">
        <f>+SUM(GD19:GO19)</f>
        <v>16782.51180257048</v>
      </c>
      <c r="GQ19" s="27">
        <v>47.544008817540004</v>
      </c>
      <c r="GR19" s="27">
        <v>80.319999999999993</v>
      </c>
      <c r="GS19" s="27">
        <v>5.6388833430999998</v>
      </c>
      <c r="GT19" s="27">
        <v>0</v>
      </c>
      <c r="GU19" s="27">
        <v>4233.7947672815098</v>
      </c>
      <c r="GV19" s="27">
        <v>1380.7019322762299</v>
      </c>
      <c r="GW19" s="27">
        <v>200.11267140563001</v>
      </c>
      <c r="GX19" s="27">
        <v>488.23342636411002</v>
      </c>
      <c r="GY19" s="27">
        <v>110.41082225472999</v>
      </c>
      <c r="GZ19" s="27">
        <v>0</v>
      </c>
      <c r="HA19" s="27">
        <v>1933.1625074399999</v>
      </c>
      <c r="HB19" s="27">
        <v>995.80765412999995</v>
      </c>
      <c r="HC19" s="28">
        <f>+SUM(GQ19:HB19)</f>
        <v>9475.726673312849</v>
      </c>
      <c r="HD19" s="27">
        <v>96.819343610000004</v>
      </c>
      <c r="HE19" s="27">
        <v>0</v>
      </c>
      <c r="HF19" s="27">
        <v>106.47</v>
      </c>
      <c r="HG19" s="27">
        <v>0</v>
      </c>
      <c r="HH19" s="27">
        <v>141.81330489000001</v>
      </c>
      <c r="HI19" s="27">
        <v>161.64987244</v>
      </c>
      <c r="HJ19" s="27">
        <v>112.81728409999999</v>
      </c>
      <c r="HK19" s="27">
        <v>83.639232509999999</v>
      </c>
      <c r="HL19" s="27">
        <v>22.754158779999997</v>
      </c>
      <c r="HM19" s="27">
        <v>484.18900718999998</v>
      </c>
      <c r="HN19" s="27">
        <v>190.87440269000001</v>
      </c>
      <c r="HO19" s="27">
        <v>5605.1716614699999</v>
      </c>
      <c r="HP19" s="28">
        <f>+SUM(HD19:HO19)</f>
        <v>7006.1982676799998</v>
      </c>
      <c r="HQ19" s="27">
        <v>36.413295689999998</v>
      </c>
      <c r="HR19" s="27">
        <v>0</v>
      </c>
      <c r="HS19" s="27">
        <v>0</v>
      </c>
      <c r="HT19" s="27">
        <v>206.64807200000001</v>
      </c>
      <c r="HU19" s="27">
        <v>158.11379956000002</v>
      </c>
      <c r="HV19" s="27">
        <v>275.92501334000002</v>
      </c>
      <c r="HW19" s="27">
        <v>78.060515660000007</v>
      </c>
      <c r="HX19" s="27">
        <v>333.63470875999997</v>
      </c>
      <c r="HY19" s="27">
        <v>11.7824563</v>
      </c>
      <c r="HZ19" s="27">
        <v>4.4671501600000001</v>
      </c>
      <c r="IA19" s="27">
        <v>298.24526555</v>
      </c>
      <c r="IB19" s="27">
        <v>815.52779475</v>
      </c>
      <c r="IC19" s="28">
        <f>+SUM(HQ19:IB19)</f>
        <v>2218.8180717699997</v>
      </c>
      <c r="ID19" s="27">
        <v>126.19768534000001</v>
      </c>
      <c r="IE19" s="27">
        <v>0</v>
      </c>
      <c r="IF19" s="27">
        <v>36.367759999999997</v>
      </c>
      <c r="IG19" s="27">
        <v>169.24419245000001</v>
      </c>
      <c r="IH19" s="27">
        <v>8.6603630700000007</v>
      </c>
      <c r="II19" s="27">
        <v>379.35201308000001</v>
      </c>
      <c r="IJ19" s="27">
        <v>184.07022004000001</v>
      </c>
      <c r="IK19" s="27">
        <v>131.5850408</v>
      </c>
      <c r="IL19" s="27">
        <v>8.8927702499999999</v>
      </c>
      <c r="IM19" s="27">
        <v>159.89201134000001</v>
      </c>
      <c r="IN19" s="27">
        <v>231.74797505999999</v>
      </c>
      <c r="IO19" s="27">
        <v>446.88147982999999</v>
      </c>
      <c r="IP19" s="28">
        <f>+SUM(ID19:IO19)</f>
        <v>1882.89151126</v>
      </c>
      <c r="IQ19" s="27">
        <v>1305.5129902200001</v>
      </c>
      <c r="IR19" s="27">
        <v>6.8783114400000001</v>
      </c>
      <c r="IS19" s="27">
        <v>6.8825298200000002</v>
      </c>
      <c r="IT19" s="27">
        <v>-1.1959962900000001</v>
      </c>
      <c r="IU19" s="27">
        <v>36.159603079999997</v>
      </c>
      <c r="IV19" s="27">
        <v>97.249457450000008</v>
      </c>
      <c r="IW19" s="27">
        <v>11.18700662</v>
      </c>
      <c r="IX19" s="27">
        <v>129.66583536000002</v>
      </c>
      <c r="IY19" s="28">
        <f>+SUM(IQ19:IX19)</f>
        <v>1592.3397376999999</v>
      </c>
    </row>
    <row r="20" spans="1:259" s="11" customFormat="1" ht="12" customHeight="1" x14ac:dyDescent="0.25">
      <c r="A20" s="2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</row>
    <row r="21" spans="1:259" s="21" customFormat="1" ht="20.100000000000001" customHeight="1" x14ac:dyDescent="0.25">
      <c r="A21" s="23" t="s">
        <v>20</v>
      </c>
      <c r="B21" s="22">
        <v>59035.630191179996</v>
      </c>
      <c r="C21" s="22">
        <v>34452.345196700007</v>
      </c>
      <c r="D21" s="22">
        <v>73057.393052149986</v>
      </c>
      <c r="E21" s="22">
        <f>E23+E33</f>
        <v>21727.954922370001</v>
      </c>
      <c r="F21" s="22">
        <f>F23+F33</f>
        <v>44597.855885629993</v>
      </c>
      <c r="G21" s="22">
        <f>G23+G33</f>
        <v>57614.108658819991</v>
      </c>
      <c r="H21" s="22">
        <f>H23+H33</f>
        <v>46181.383441160004</v>
      </c>
      <c r="I21" s="22">
        <f>I23+I33</f>
        <v>47746.76007532014</v>
      </c>
      <c r="J21" s="22">
        <f>J23+J33</f>
        <v>75956.699271349993</v>
      </c>
      <c r="K21" s="22">
        <f>K23+K33</f>
        <v>15190.88431107</v>
      </c>
      <c r="L21" s="22">
        <f>L23+L33</f>
        <v>45061.316359715347</v>
      </c>
      <c r="M21" s="22">
        <f>M23+M33</f>
        <v>60913.145050620013</v>
      </c>
      <c r="N21" s="22">
        <f>N23+N33</f>
        <v>22910.715821269998</v>
      </c>
      <c r="O21" s="22">
        <f>O23+O33</f>
        <v>37976.679022470002</v>
      </c>
      <c r="P21" s="22">
        <f>SUM(D21:O21)</f>
        <v>548934.89587194554</v>
      </c>
      <c r="Q21" s="22">
        <f>Q23+Q33</f>
        <v>64871.704421620016</v>
      </c>
      <c r="R21" s="22">
        <f>R23+R33</f>
        <v>23431.297746940003</v>
      </c>
      <c r="S21" s="22">
        <f>S23+S33</f>
        <v>39492.554075199725</v>
      </c>
      <c r="T21" s="22">
        <f>T23+T33</f>
        <v>73529.867830339994</v>
      </c>
      <c r="U21" s="22">
        <f>U23+U33</f>
        <v>15316.33713709</v>
      </c>
      <c r="V21" s="22">
        <f>V23+V33</f>
        <v>31224.247605089997</v>
      </c>
      <c r="W21" s="22">
        <f>W23+W33</f>
        <v>92748.832677990009</v>
      </c>
      <c r="X21" s="22">
        <f>X23+X33</f>
        <v>15320.734892480003</v>
      </c>
      <c r="Y21" s="22">
        <f>Y23+Y33</f>
        <v>30799.534685430001</v>
      </c>
      <c r="Z21" s="22">
        <f>Z23+Z33</f>
        <v>29430.067869370003</v>
      </c>
      <c r="AA21" s="22">
        <f>AA23+AA33</f>
        <v>13225.434579050008</v>
      </c>
      <c r="AB21" s="22">
        <f>AB23+AB33</f>
        <v>34250.657900290003</v>
      </c>
      <c r="AC21" s="22">
        <f>SUM(Q21:AB21)</f>
        <v>463641.27142088977</v>
      </c>
      <c r="AD21" s="22">
        <f>AD23+AD33</f>
        <v>93644.254327630042</v>
      </c>
      <c r="AE21" s="22">
        <f>AE23+AE33</f>
        <v>9898.4350507599975</v>
      </c>
      <c r="AF21" s="22">
        <f>AF23+AF33</f>
        <v>27700.564638690001</v>
      </c>
      <c r="AG21" s="22">
        <f>AG23+AG33</f>
        <v>38857.141896260015</v>
      </c>
      <c r="AH21" s="22">
        <f>AH23+AH33</f>
        <v>39225.469327520004</v>
      </c>
      <c r="AI21" s="22">
        <f>AI23+AI33</f>
        <v>33879.212130305743</v>
      </c>
      <c r="AJ21" s="22">
        <f>AJ23+AJ33</f>
        <v>49631.981431970016</v>
      </c>
      <c r="AK21" s="22">
        <f>AK23+AK33</f>
        <v>25527.783695800001</v>
      </c>
      <c r="AL21" s="22">
        <f>AL23+AL33</f>
        <v>46564.142881889988</v>
      </c>
      <c r="AM21" s="22">
        <f>AM23+AM33</f>
        <v>50931.342427780008</v>
      </c>
      <c r="AN21" s="22">
        <f>AN23+AN33</f>
        <v>26853.50131078</v>
      </c>
      <c r="AO21" s="22">
        <f>AO23+AO33</f>
        <v>42084.74493000334</v>
      </c>
      <c r="AP21" s="22">
        <f>SUM(AD21:AO21)</f>
        <v>484798.57404938911</v>
      </c>
      <c r="AQ21" s="22">
        <f>AQ23+AQ33</f>
        <v>102397.45983211999</v>
      </c>
      <c r="AR21" s="22">
        <f>AR23+AR33</f>
        <v>11615.294613850001</v>
      </c>
      <c r="AS21" s="22">
        <f>AS23+AS33</f>
        <v>50390.716640360006</v>
      </c>
      <c r="AT21" s="22">
        <f>AT23+AT33</f>
        <v>24575.882790649997</v>
      </c>
      <c r="AU21" s="22">
        <f>AU23+AU33</f>
        <v>11138.068521099747</v>
      </c>
      <c r="AV21" s="22">
        <f>AV23+AV33</f>
        <v>52699.0162318</v>
      </c>
      <c r="AW21" s="22">
        <f>AW23+AW33</f>
        <v>64752.301877329992</v>
      </c>
      <c r="AX21" s="22">
        <f>AX23+AX33</f>
        <v>46011.114727629996</v>
      </c>
      <c r="AY21" s="22">
        <f>AY23+AY33</f>
        <v>108270.67250084999</v>
      </c>
      <c r="AZ21" s="22">
        <f>AZ23+AZ33</f>
        <v>45012.136145470009</v>
      </c>
      <c r="BA21" s="22">
        <f>BA23+BA33</f>
        <v>17591.894178850001</v>
      </c>
      <c r="BB21" s="22">
        <v>38796.710643979997</v>
      </c>
      <c r="BC21" s="22">
        <f>SUM(AQ21:BB21)</f>
        <v>573251.26870398968</v>
      </c>
      <c r="BD21" s="22">
        <f>BD23+BD33</f>
        <v>117872.17015431999</v>
      </c>
      <c r="BE21" s="22">
        <f>BE23+BE33</f>
        <v>12488.095003860002</v>
      </c>
      <c r="BF21" s="22">
        <f>BF23+BF33</f>
        <v>42040.813679146304</v>
      </c>
      <c r="BG21" s="22">
        <f>BG23+BG33</f>
        <v>27417.357103350001</v>
      </c>
      <c r="BH21" s="22">
        <f>BH23+BH33</f>
        <v>49888.289170150012</v>
      </c>
      <c r="BI21" s="22">
        <f>BI23+BI33</f>
        <v>28353.24721483</v>
      </c>
      <c r="BJ21" s="22">
        <f>BJ23+BJ33</f>
        <v>127985.57586665002</v>
      </c>
      <c r="BK21" s="22">
        <f>BK23+BK33</f>
        <v>11321.337876839996</v>
      </c>
      <c r="BL21" s="22">
        <f>BL23+BL33</f>
        <v>12157.189806800001</v>
      </c>
      <c r="BM21" s="22">
        <f>BM23+BM33</f>
        <v>39031.107120739995</v>
      </c>
      <c r="BN21" s="22">
        <f>BN23+BN33</f>
        <v>34298.396341570005</v>
      </c>
      <c r="BO21" s="22">
        <f>BO23+BO33</f>
        <v>25915.411412059995</v>
      </c>
      <c r="BP21" s="22">
        <f>SUM(BD21:BO21)</f>
        <v>528768.9907503163</v>
      </c>
      <c r="BQ21" s="22">
        <f>BQ23+BQ33</f>
        <v>117470.45496091001</v>
      </c>
      <c r="BR21" s="22">
        <f>BR23+BR33</f>
        <v>76326.40453556001</v>
      </c>
      <c r="BS21" s="22">
        <f>BS23+BS33</f>
        <v>30949.320237889999</v>
      </c>
      <c r="BT21" s="22">
        <f>BT23+BT33</f>
        <v>28862.817419966152</v>
      </c>
      <c r="BU21" s="22">
        <f>BU23+BU33</f>
        <v>13683.188741243186</v>
      </c>
      <c r="BV21" s="22">
        <f>BV23+BV33</f>
        <v>51292.145876750008</v>
      </c>
      <c r="BW21" s="22">
        <f>BW23+BW33</f>
        <v>145793.50861548001</v>
      </c>
      <c r="BX21" s="22">
        <f>BX23+BX33</f>
        <v>68525.621165130011</v>
      </c>
      <c r="BY21" s="22">
        <f>BY23+BY33</f>
        <v>38346.489761751458</v>
      </c>
      <c r="BZ21" s="22">
        <f>BZ23+BZ33</f>
        <v>25536.383659160005</v>
      </c>
      <c r="CA21" s="22">
        <f>CA23+CA33</f>
        <v>29536.056015360042</v>
      </c>
      <c r="CB21" s="22">
        <f>CB23+CB33</f>
        <v>36615.537957499997</v>
      </c>
      <c r="CC21" s="22">
        <f>SUM(BQ21:CB21)</f>
        <v>662937.92894670099</v>
      </c>
      <c r="CD21" s="22">
        <f>CD23+CD33</f>
        <v>123754.42736465998</v>
      </c>
      <c r="CE21" s="22">
        <f>CE23+CE33</f>
        <v>13403.434731249999</v>
      </c>
      <c r="CF21" s="22">
        <f>CF23+CF33</f>
        <v>62112.471496530001</v>
      </c>
      <c r="CG21" s="22">
        <f>CG23+CG33</f>
        <v>55546.631956077988</v>
      </c>
      <c r="CH21" s="22">
        <f>CH23+CH33</f>
        <v>65092.316801309265</v>
      </c>
      <c r="CI21" s="22">
        <f>CI23+CI33</f>
        <v>29732.667335575243</v>
      </c>
      <c r="CJ21" s="22">
        <f>CJ23+CJ33</f>
        <v>85438.814755156709</v>
      </c>
      <c r="CK21" s="22">
        <f>CK23+CK33</f>
        <v>23051.780049010347</v>
      </c>
      <c r="CL21" s="22">
        <f>CL23+CL33</f>
        <v>69858.110733280002</v>
      </c>
      <c r="CM21" s="22">
        <f>CM23+CM33</f>
        <v>25455.388210169996</v>
      </c>
      <c r="CN21" s="22">
        <f>CN23+CN33</f>
        <v>14333.917233630007</v>
      </c>
      <c r="CO21" s="22">
        <f>CO23+CO33</f>
        <v>13718.82837875</v>
      </c>
      <c r="CP21" s="22">
        <f>+SUM(CD21:CO21)</f>
        <v>581498.7890453994</v>
      </c>
      <c r="CQ21" s="22">
        <f>CQ23+CQ33</f>
        <v>135420.94746438999</v>
      </c>
      <c r="CR21" s="22">
        <f>CR23+CR33</f>
        <v>20916.207897690005</v>
      </c>
      <c r="CS21" s="22">
        <f>CS23+CS33</f>
        <v>63366.013025010012</v>
      </c>
      <c r="CT21" s="22">
        <f>CT23+CT33</f>
        <v>93483.377929720009</v>
      </c>
      <c r="CU21" s="22">
        <f>CU23+CU33</f>
        <v>8262.5996082500005</v>
      </c>
      <c r="CV21" s="22">
        <f>CV23+CV33</f>
        <v>2484.9670962699997</v>
      </c>
      <c r="CW21" s="22">
        <f>CW23+CW33</f>
        <v>82876.518384120005</v>
      </c>
      <c r="CX21" s="22">
        <f>CX23+CX33</f>
        <v>71101.473527730006</v>
      </c>
      <c r="CY21" s="22">
        <f>CY23+CY33</f>
        <v>57994.83942428002</v>
      </c>
      <c r="CZ21" s="22">
        <f>CZ23+CZ33</f>
        <v>84428.575516500016</v>
      </c>
      <c r="DA21" s="22">
        <f>DA23+DA33</f>
        <v>10111.160192279996</v>
      </c>
      <c r="DB21" s="22">
        <f>DB23+DB33</f>
        <v>6921.6497110499995</v>
      </c>
      <c r="DC21" s="22">
        <f>+SUM(CQ21:DB21)</f>
        <v>637368.32977729</v>
      </c>
      <c r="DD21" s="22">
        <f>DD23+DD33</f>
        <v>122827.50578610002</v>
      </c>
      <c r="DE21" s="22">
        <f>DE23+DE33</f>
        <v>17252.054067310008</v>
      </c>
      <c r="DF21" s="22">
        <f>DF23+DF33</f>
        <v>76960.471725319978</v>
      </c>
      <c r="DG21" s="22">
        <f>DG23+DG33</f>
        <v>112643.304213</v>
      </c>
      <c r="DH21" s="22">
        <f>DH23+DH33</f>
        <v>72983.353117749983</v>
      </c>
      <c r="DI21" s="22">
        <f>DI23+DI33</f>
        <v>2519.6291080199999</v>
      </c>
      <c r="DJ21" s="22">
        <f>DJ23+DJ33</f>
        <v>71061.265132790024</v>
      </c>
      <c r="DK21" s="22">
        <f>DK23+DK33</f>
        <v>20673.243449050002</v>
      </c>
      <c r="DL21" s="22">
        <f>DL23+DL33</f>
        <v>62005.22003584999</v>
      </c>
      <c r="DM21" s="22">
        <f>DM23+DM33</f>
        <v>148739.17462675003</v>
      </c>
      <c r="DN21" s="22">
        <f>DN23+DN33</f>
        <v>12369.496746500619</v>
      </c>
      <c r="DO21" s="22">
        <f>DO23+DO33</f>
        <v>7902.7540540376576</v>
      </c>
      <c r="DP21" s="22">
        <f>+SUM(DD21:DO21)</f>
        <v>727937.47206247819</v>
      </c>
      <c r="DQ21" s="22">
        <f>DQ23+DQ33</f>
        <v>150452.12473618999</v>
      </c>
      <c r="DR21" s="22">
        <f>DR23+DR33</f>
        <v>16677.699913650002</v>
      </c>
      <c r="DS21" s="22">
        <f>DS23+DS33</f>
        <v>2604.9708131914099</v>
      </c>
      <c r="DT21" s="22">
        <f>DT23+DT33</f>
        <v>161247.35587862771</v>
      </c>
      <c r="DU21" s="22">
        <f>DU23+DU33</f>
        <v>11483.55300969627</v>
      </c>
      <c r="DV21" s="22">
        <f>DV23+DV33</f>
        <v>3073.0359912178601</v>
      </c>
      <c r="DW21" s="22">
        <f>DW23+DW33</f>
        <v>100257.55843118015</v>
      </c>
      <c r="DX21" s="22">
        <f>DX23+DX33</f>
        <v>99552.363954002067</v>
      </c>
      <c r="DY21" s="22">
        <f>DY23+DY33</f>
        <v>16356.164165906568</v>
      </c>
      <c r="DZ21" s="22">
        <f>DZ23+DZ33</f>
        <v>113453.4848070962</v>
      </c>
      <c r="EA21" s="22">
        <f>EA23+EA33</f>
        <v>14447.85729839741</v>
      </c>
      <c r="EB21" s="22">
        <f>EB23+EB33</f>
        <v>42799.769232709288</v>
      </c>
      <c r="EC21" s="22">
        <f>+SUM(DQ21:EB21)</f>
        <v>732405.93823186506</v>
      </c>
      <c r="ED21" s="22">
        <f>ED23+ED33</f>
        <v>154402.78909453089</v>
      </c>
      <c r="EE21" s="22">
        <f>EE23+EE33</f>
        <v>17650.100891789822</v>
      </c>
      <c r="EF21" s="22">
        <f>EF23+EF33</f>
        <v>13775.45742336231</v>
      </c>
      <c r="EG21" s="22">
        <f>EG23+EG33</f>
        <v>75301.239163840524</v>
      </c>
      <c r="EH21" s="22">
        <f>EH23+EH33</f>
        <v>66526.863907507723</v>
      </c>
      <c r="EI21" s="22">
        <f>EI23+EI33</f>
        <v>3841.5303875109703</v>
      </c>
      <c r="EJ21" s="22">
        <f>EJ23+EJ33</f>
        <v>99000.257281167636</v>
      </c>
      <c r="EK21" s="22">
        <f>EK23+EK33</f>
        <v>18055.445048546579</v>
      </c>
      <c r="EL21" s="22">
        <f>EL23+EL33</f>
        <v>57045.583541228938</v>
      </c>
      <c r="EM21" s="22">
        <f>EM23+EM33</f>
        <v>89924.217661359377</v>
      </c>
      <c r="EN21" s="22">
        <f>EN23+EN33</f>
        <v>19127.683023078556</v>
      </c>
      <c r="EO21" s="22">
        <f>EO23+EO33</f>
        <v>2810.9299723536201</v>
      </c>
      <c r="EP21" s="22">
        <f>+SUM(ED21:EO21)</f>
        <v>617462.09739627701</v>
      </c>
      <c r="EQ21" s="22">
        <f>EQ23+EQ33</f>
        <v>109311.589211509</v>
      </c>
      <c r="ER21" s="22">
        <f>ER23+ER33</f>
        <v>18577.144077309917</v>
      </c>
      <c r="ES21" s="22">
        <f>ES23+ES33</f>
        <v>53687.367619146979</v>
      </c>
      <c r="ET21" s="22">
        <f>ET23+ET33</f>
        <v>99188.729674462535</v>
      </c>
      <c r="EU21" s="22">
        <f>EU23+EU33</f>
        <v>15487.49445582519</v>
      </c>
      <c r="EV21" s="22">
        <f>EV23+EV33</f>
        <v>22964.427784262047</v>
      </c>
      <c r="EW21" s="22">
        <f>EW23+EW33</f>
        <v>91343.403635597613</v>
      </c>
      <c r="EX21" s="22">
        <f>EX23+EX33</f>
        <v>81517.577306846113</v>
      </c>
      <c r="EY21" s="22">
        <f>EY23+EY33</f>
        <v>84365.845316627485</v>
      </c>
      <c r="EZ21" s="22">
        <f>EZ23+EZ33</f>
        <v>90263.048835961963</v>
      </c>
      <c r="FA21" s="22">
        <f>FA23+FA33</f>
        <v>17334.66128994061</v>
      </c>
      <c r="FB21" s="22">
        <f>FB23+FB33</f>
        <v>3830.8825384909292</v>
      </c>
      <c r="FC21" s="22">
        <f>+SUM(EQ21:FB21)</f>
        <v>687872.17174598039</v>
      </c>
      <c r="FD21" s="22">
        <f>FD23+FD33</f>
        <v>147776.26039968341</v>
      </c>
      <c r="FE21" s="22">
        <f>FE23+FE33</f>
        <v>19098.930612075048</v>
      </c>
      <c r="FF21" s="22">
        <f>FF23+FF33</f>
        <v>68975.271130606299</v>
      </c>
      <c r="FG21" s="22">
        <f>FG23+FG33</f>
        <v>126691.02800096622</v>
      </c>
      <c r="FH21" s="22">
        <f>FH23+FH33</f>
        <v>99161.813260405805</v>
      </c>
      <c r="FI21" s="22">
        <f>FI23+FI33</f>
        <v>3719.3260471117501</v>
      </c>
      <c r="FJ21" s="22">
        <f>FJ23+FJ33</f>
        <v>77873.4189459107</v>
      </c>
      <c r="FK21" s="22">
        <f>FK23+FK33</f>
        <v>21019.912133187448</v>
      </c>
      <c r="FL21" s="22">
        <f>FL23+FL33</f>
        <v>8042.6531265006688</v>
      </c>
      <c r="FM21" s="22">
        <f>FM23+FM33</f>
        <v>114068.95821368763</v>
      </c>
      <c r="FN21" s="22">
        <f>FN23+FN33</f>
        <v>18117.002165181351</v>
      </c>
      <c r="FO21" s="22">
        <f>FO23+FO33</f>
        <v>12446.101747741199</v>
      </c>
      <c r="FP21" s="22">
        <f>+SUM(FD21:FO21)</f>
        <v>716990.67578305746</v>
      </c>
      <c r="FQ21" s="22">
        <f>FQ23+FQ33</f>
        <v>122277.36236210246</v>
      </c>
      <c r="FR21" s="22">
        <f>FR23+FR33</f>
        <v>22725.635971656779</v>
      </c>
      <c r="FS21" s="22">
        <f>FS23+FS33</f>
        <v>143575.73039664153</v>
      </c>
      <c r="FT21" s="22">
        <f>FT23+FT33</f>
        <v>121693.64428047405</v>
      </c>
      <c r="FU21" s="22">
        <f>FU23+FU33</f>
        <v>13071.012309078018</v>
      </c>
      <c r="FV21" s="22">
        <f>FV23+FV33</f>
        <v>4026.8247814072802</v>
      </c>
      <c r="FW21" s="22">
        <f>FW23+FW33</f>
        <v>214829.45786245973</v>
      </c>
      <c r="FX21" s="22">
        <f>FX23+FX33</f>
        <v>82208.278533403151</v>
      </c>
      <c r="FY21" s="22">
        <f>FY23+FY33</f>
        <v>74566.101378326683</v>
      </c>
      <c r="FZ21" s="22">
        <f>FZ23+FZ33</f>
        <v>97306.153982900505</v>
      </c>
      <c r="GA21" s="22">
        <f>GA23+GA33</f>
        <v>19152.447027269678</v>
      </c>
      <c r="GB21" s="22">
        <f>GB23+GB33</f>
        <v>5221.8380171048893</v>
      </c>
      <c r="GC21" s="22">
        <f>+SUM(FQ21:GB21)</f>
        <v>920654.48690282472</v>
      </c>
      <c r="GD21" s="22">
        <f>GD23+GD33</f>
        <v>148540.26868358493</v>
      </c>
      <c r="GE21" s="22">
        <f>GE23+GE33</f>
        <v>66459.745498883844</v>
      </c>
      <c r="GF21" s="22">
        <f>GF23+GF33</f>
        <v>163534.80742869023</v>
      </c>
      <c r="GG21" s="22">
        <f>GG23+GG33</f>
        <v>340645.40747257799</v>
      </c>
      <c r="GH21" s="22">
        <f>GH23+GH33</f>
        <v>98822.844277020064</v>
      </c>
      <c r="GI21" s="22">
        <f>GI23+GI33</f>
        <v>4014.4762470534097</v>
      </c>
      <c r="GJ21" s="22">
        <f>GJ23+GJ33</f>
        <v>118076.12247701071</v>
      </c>
      <c r="GK21" s="22">
        <f>GK23+GK33</f>
        <v>26505.510725566357</v>
      </c>
      <c r="GL21" s="22">
        <f>GL23+GL33</f>
        <v>236198.83455660663</v>
      </c>
      <c r="GM21" s="22">
        <f>GM23+GM33</f>
        <v>272252.13273179199</v>
      </c>
      <c r="GN21" s="22">
        <f>GN23+GN33</f>
        <v>18279.737005570667</v>
      </c>
      <c r="GO21" s="22">
        <f>GO23+GO33</f>
        <v>8306.9228059794004</v>
      </c>
      <c r="GP21" s="22">
        <f>+SUM(GD21:GO21)</f>
        <v>1501636.8099103363</v>
      </c>
      <c r="GQ21" s="22">
        <f>GQ23+GQ33</f>
        <v>149231.11659453873</v>
      </c>
      <c r="GR21" s="22">
        <f>GR23+GR33</f>
        <v>30854.433886674498</v>
      </c>
      <c r="GS21" s="22">
        <f>GS23+GS33</f>
        <v>271637.09883822215</v>
      </c>
      <c r="GT21" s="22">
        <f>GT23+GT33</f>
        <v>129336.55515295282</v>
      </c>
      <c r="GU21" s="22">
        <f>GU23+GU33</f>
        <v>21111.765836057326</v>
      </c>
      <c r="GV21" s="22">
        <f>GV23+GV33</f>
        <v>4006.4285264958298</v>
      </c>
      <c r="GW21" s="22">
        <f>GW23+GW33</f>
        <v>144053.58472622844</v>
      </c>
      <c r="GX21" s="22">
        <f>GX23+GX33</f>
        <v>200554.59079506621</v>
      </c>
      <c r="GY21" s="22">
        <f>GY23+GY33</f>
        <v>186443.05106010419</v>
      </c>
      <c r="GZ21" s="22">
        <f>GZ23+GZ33</f>
        <v>110517.96008136999</v>
      </c>
      <c r="HA21" s="22">
        <f>HA23+HA33</f>
        <v>25839.686700819999</v>
      </c>
      <c r="HB21" s="22">
        <f>HB23+HB33</f>
        <v>5539.3978533</v>
      </c>
      <c r="HC21" s="22">
        <f>+SUM(GQ21:HB21)</f>
        <v>1279125.6700518304</v>
      </c>
      <c r="HD21" s="22">
        <f>HD23+HD33</f>
        <v>315303.29618174001</v>
      </c>
      <c r="HE21" s="22">
        <f>HE23+HE33</f>
        <v>28492.771968860001</v>
      </c>
      <c r="HF21" s="22">
        <f>HF23+HF33</f>
        <v>189011.94263968</v>
      </c>
      <c r="HG21" s="22">
        <f>HG23+HG33</f>
        <v>35280.852149109996</v>
      </c>
      <c r="HH21" s="22">
        <f>HH23+HH33</f>
        <v>214960.22940467997</v>
      </c>
      <c r="HI21" s="22">
        <f>HI23+HI33</f>
        <v>7098.5135924199994</v>
      </c>
      <c r="HJ21" s="22">
        <f>HJ23+HJ33</f>
        <v>227081.01812533999</v>
      </c>
      <c r="HK21" s="22">
        <f>HK23+HK33</f>
        <v>34367.627949860005</v>
      </c>
      <c r="HL21" s="22">
        <f>HL23+HL33</f>
        <v>323904.80638255004</v>
      </c>
      <c r="HM21" s="22">
        <f>HM23+HM33</f>
        <v>27239.019920710005</v>
      </c>
      <c r="HN21" s="22">
        <f>HN23+HN33</f>
        <v>24721.148990480004</v>
      </c>
      <c r="HO21" s="22">
        <f>HO23+HO33</f>
        <v>3871.8196234299999</v>
      </c>
      <c r="HP21" s="22">
        <f>+SUM(HD21:HO21)</f>
        <v>1431333.0469288602</v>
      </c>
      <c r="HQ21" s="22">
        <f>HQ23+HQ33</f>
        <v>317402.32972484</v>
      </c>
      <c r="HR21" s="22">
        <f>HR23+HR33</f>
        <v>35793.308344380006</v>
      </c>
      <c r="HS21" s="22">
        <f>HS23+HS33</f>
        <v>182093.54976820998</v>
      </c>
      <c r="HT21" s="22">
        <f>HT23+HT33</f>
        <v>130344.67304616001</v>
      </c>
      <c r="HU21" s="22">
        <f>HU23+HU33</f>
        <v>25543.418353620003</v>
      </c>
      <c r="HV21" s="22">
        <f>HV23+HV33</f>
        <v>12336.80492463</v>
      </c>
      <c r="HW21" s="22">
        <f>HW23+HW33</f>
        <v>131943.20365767</v>
      </c>
      <c r="HX21" s="22">
        <f>HX23+HX33</f>
        <v>271328.97412009997</v>
      </c>
      <c r="HY21" s="22">
        <f>HY23+HY33</f>
        <v>241276.18007425999</v>
      </c>
      <c r="HZ21" s="22">
        <f>HZ23+HZ33</f>
        <v>68272.420743409981</v>
      </c>
      <c r="IA21" s="22">
        <f>IA23+IA33</f>
        <v>26898.967155030001</v>
      </c>
      <c r="IB21" s="22">
        <f>IB23+IB33</f>
        <v>15240.415174350001</v>
      </c>
      <c r="IC21" s="22">
        <f>+SUM(HQ21:IB21)</f>
        <v>1458474.2450866599</v>
      </c>
      <c r="ID21" s="22">
        <f>ID23+ID33</f>
        <v>255278.79650384997</v>
      </c>
      <c r="IE21" s="22">
        <f>IE23+IE33</f>
        <v>38722.5026182</v>
      </c>
      <c r="IF21" s="22">
        <f>IF23+IF33</f>
        <v>187866.10427137002</v>
      </c>
      <c r="IG21" s="22">
        <f>IG23+IG33</f>
        <v>164640.35382053</v>
      </c>
      <c r="IH21" s="22">
        <f>IH23+IH33</f>
        <v>184542.72727668006</v>
      </c>
      <c r="II21" s="22">
        <f>II23+II33</f>
        <v>17905.45257112</v>
      </c>
      <c r="IJ21" s="22">
        <f>IJ23+IJ33</f>
        <v>152249.39256400001</v>
      </c>
      <c r="IK21" s="22">
        <f>IK23+IK33</f>
        <v>39052.783260229997</v>
      </c>
      <c r="IL21" s="22">
        <f>IL23+IL33</f>
        <v>268076.39613418002</v>
      </c>
      <c r="IM21" s="22">
        <f>IM23+IM33</f>
        <v>121372.42742639</v>
      </c>
      <c r="IN21" s="22">
        <f>IN23+IN33</f>
        <v>27777.910467909998</v>
      </c>
      <c r="IO21" s="22">
        <f>IO23+IO33</f>
        <v>5886.5107391800002</v>
      </c>
      <c r="IP21" s="22">
        <f>+SUM(ID21:IO21)</f>
        <v>1463371.35765364</v>
      </c>
      <c r="IQ21" s="22">
        <f>IQ23+IQ33</f>
        <v>215932.23757452</v>
      </c>
      <c r="IR21" s="22">
        <f>IR23+IR33</f>
        <v>41051.715003090001</v>
      </c>
      <c r="IS21" s="22">
        <f>IS23+IS33</f>
        <v>398682.09018932999</v>
      </c>
      <c r="IT21" s="22">
        <f>IT23+IT33</f>
        <v>146007.20685034001</v>
      </c>
      <c r="IU21" s="22">
        <f>IU23+IU33</f>
        <v>31810.082980039999</v>
      </c>
      <c r="IV21" s="22">
        <f>IV23+IV33</f>
        <v>7334.5461302299991</v>
      </c>
      <c r="IW21" s="22">
        <f>IW23+IW33</f>
        <v>263287.57420158002</v>
      </c>
      <c r="IX21" s="22">
        <f>IX23+IX33</f>
        <v>296052.70281931997</v>
      </c>
      <c r="IY21" s="22">
        <f>+SUM(IQ21:IX21)</f>
        <v>1400158.1557484497</v>
      </c>
    </row>
    <row r="22" spans="1:259" s="11" customFormat="1" ht="12" customHeight="1" x14ac:dyDescent="0.25">
      <c r="A22" s="39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</row>
    <row r="23" spans="1:259" s="21" customFormat="1" ht="20.100000000000001" customHeight="1" x14ac:dyDescent="0.25">
      <c r="A23" s="34" t="s">
        <v>19</v>
      </c>
      <c r="B23" s="32">
        <f>SUM(B24:B30)</f>
        <v>54147.967226699999</v>
      </c>
      <c r="C23" s="32">
        <f>SUM(C24:C31)</f>
        <v>33959.8260247</v>
      </c>
      <c r="D23" s="32">
        <f>SUM(D24:D31)</f>
        <v>69104.452641529992</v>
      </c>
      <c r="E23" s="32">
        <f>SUM(E24:E31)</f>
        <v>18883.611022250003</v>
      </c>
      <c r="F23" s="32">
        <f>SUM(F24:F31)</f>
        <v>41854.914822819992</v>
      </c>
      <c r="G23" s="32">
        <f>SUM(G24:G31)</f>
        <v>55025.538233359992</v>
      </c>
      <c r="H23" s="32">
        <f>SUM(H24:H31)</f>
        <v>40833.918572620001</v>
      </c>
      <c r="I23" s="32">
        <f>SUM(I24:I31)</f>
        <v>47233.60526966014</v>
      </c>
      <c r="J23" s="32">
        <f>SUM(J24:J31)</f>
        <v>68589.362552879989</v>
      </c>
      <c r="K23" s="32">
        <f>SUM(K24:K31)</f>
        <v>14215.736458880001</v>
      </c>
      <c r="L23" s="32">
        <f>SUM(L24:L31)</f>
        <v>42006.023673995347</v>
      </c>
      <c r="M23" s="32">
        <f>SUM(M24:M31)</f>
        <v>58110.39388090001</v>
      </c>
      <c r="N23" s="32">
        <f>SUM(N24:N31)</f>
        <v>21239.720581819998</v>
      </c>
      <c r="O23" s="32">
        <f>SUM(O24:O31)</f>
        <v>36324.105386930001</v>
      </c>
      <c r="P23" s="33">
        <f>SUM(D23:O23)</f>
        <v>513421.38309764548</v>
      </c>
      <c r="Q23" s="32">
        <f>SUM(Q24:Q31)</f>
        <v>62944.517979210017</v>
      </c>
      <c r="R23" s="32">
        <f>SUM(R24:R31)</f>
        <v>22332.665760840002</v>
      </c>
      <c r="S23" s="32">
        <f>SUM(S24:S31)</f>
        <v>36974.557934499993</v>
      </c>
      <c r="T23" s="32">
        <f>SUM(T24:T31)</f>
        <v>69995.27163214999</v>
      </c>
      <c r="U23" s="32">
        <f>SUM(U24:U31)</f>
        <v>14375.991974370001</v>
      </c>
      <c r="V23" s="32">
        <f>SUM(V24:V31)</f>
        <v>30739.496408759998</v>
      </c>
      <c r="W23" s="32">
        <f>SUM(W24:W31)</f>
        <v>90768.036846670002</v>
      </c>
      <c r="X23" s="32">
        <f>SUM(X24:X31)</f>
        <v>14665.620269400002</v>
      </c>
      <c r="Y23" s="32">
        <f>SUM(Y24:Y31)</f>
        <v>29549.753015369999</v>
      </c>
      <c r="Z23" s="32">
        <f>SUM(Z24:Z31)</f>
        <v>28378.758023450002</v>
      </c>
      <c r="AA23" s="32">
        <f>SUM(AA24:AA31)</f>
        <v>12045.807560630008</v>
      </c>
      <c r="AB23" s="32">
        <f>SUM(AB24:AB31)</f>
        <v>33691.977558050006</v>
      </c>
      <c r="AC23" s="33">
        <f>SUM(Q23:AB23)</f>
        <v>446462.45496340003</v>
      </c>
      <c r="AD23" s="32">
        <f>SUM(AD24:AD31)</f>
        <v>91159.090690790035</v>
      </c>
      <c r="AE23" s="32">
        <f>SUM(AE24:AE31)</f>
        <v>8725.5897846499975</v>
      </c>
      <c r="AF23" s="32">
        <f>SUM(AF24:AF31)</f>
        <v>26252.448692090002</v>
      </c>
      <c r="AG23" s="32">
        <f>SUM(AG24:AG31)</f>
        <v>36827.618849490013</v>
      </c>
      <c r="AH23" s="32">
        <f>SUM(AH24:AH31)</f>
        <v>38197.917431820002</v>
      </c>
      <c r="AI23" s="32">
        <f>SUM(AI24:AI31)</f>
        <v>32793.50621000574</v>
      </c>
      <c r="AJ23" s="32">
        <f>SUM(AJ24:AJ31)</f>
        <v>47121.364024250019</v>
      </c>
      <c r="AK23" s="32">
        <f>SUM(AK24:AK31)</f>
        <v>24789.134203260001</v>
      </c>
      <c r="AL23" s="32">
        <f>SUM(AL24:AL31)</f>
        <v>45045.038123539991</v>
      </c>
      <c r="AM23" s="32">
        <f>SUM(AM24:AM31)</f>
        <v>47557.912592690009</v>
      </c>
      <c r="AN23" s="32">
        <f>SUM(AN24:AN31)</f>
        <v>25642.239895170002</v>
      </c>
      <c r="AO23" s="32">
        <f>SUM(AO24:AO31)</f>
        <v>38010.982325640005</v>
      </c>
      <c r="AP23" s="33">
        <f>SUM(AD23:AO23)</f>
        <v>462122.8428233958</v>
      </c>
      <c r="AQ23" s="32">
        <f>SUM(AQ24:AQ31)</f>
        <v>100054.10762083999</v>
      </c>
      <c r="AR23" s="32">
        <f>SUM(AR24:AR31)</f>
        <v>9493.2867224300007</v>
      </c>
      <c r="AS23" s="32">
        <f>SUM(AS24:AS31)</f>
        <v>48011.523505470002</v>
      </c>
      <c r="AT23" s="32">
        <f>SUM(AT24:AT31)</f>
        <v>22920.041785629997</v>
      </c>
      <c r="AU23" s="32">
        <f>SUM(AU24:AU31)</f>
        <v>9641.6285948197474</v>
      </c>
      <c r="AV23" s="32">
        <f>SUM(AV24:AV31)</f>
        <v>52179.274581179998</v>
      </c>
      <c r="AW23" s="32">
        <f>SUM(AW24:AW31)</f>
        <v>61707.925066709991</v>
      </c>
      <c r="AX23" s="32">
        <f>SUM(AX24:AX31)</f>
        <v>45434.096453399994</v>
      </c>
      <c r="AY23" s="32">
        <f>SUM(AY24:AY31)</f>
        <v>106973.21593273999</v>
      </c>
      <c r="AZ23" s="32">
        <f>SUM(AZ24:AZ31)</f>
        <v>42890.964982150006</v>
      </c>
      <c r="BA23" s="32">
        <f>SUM(BA24:BA31)</f>
        <v>15631.006101430003</v>
      </c>
      <c r="BB23" s="32">
        <v>36121.549165609998</v>
      </c>
      <c r="BC23" s="33">
        <f>SUM(AQ23:BB23)</f>
        <v>551058.62051240972</v>
      </c>
      <c r="BD23" s="32">
        <f>SUM(BD24:BD31)</f>
        <v>113637.08753188</v>
      </c>
      <c r="BE23" s="32">
        <f>SUM(BE24:BE31)</f>
        <v>11711.707395100002</v>
      </c>
      <c r="BF23" s="32">
        <f>SUM(BF24:BF31)</f>
        <v>40021.173946520001</v>
      </c>
      <c r="BG23" s="32">
        <f>SUM(BG24:BG31)</f>
        <v>26791.027660440002</v>
      </c>
      <c r="BH23" s="32">
        <f>SUM(BH24:BH31)</f>
        <v>48415.97378112001</v>
      </c>
      <c r="BI23" s="32">
        <f>SUM(BI24:BI31)</f>
        <v>22574.13785168</v>
      </c>
      <c r="BJ23" s="32">
        <f>SUM(BJ24:BJ31)</f>
        <v>125044.82472744002</v>
      </c>
      <c r="BK23" s="32">
        <f>SUM(BK24:BK31)</f>
        <v>10163.225589749996</v>
      </c>
      <c r="BL23" s="32">
        <f>SUM(BL24:BL31)</f>
        <v>10479.773866130001</v>
      </c>
      <c r="BM23" s="32">
        <f>SUM(BM24:BM31)</f>
        <v>33843.424128769999</v>
      </c>
      <c r="BN23" s="32">
        <f>SUM(BN24:BN31)</f>
        <v>33839.983574080004</v>
      </c>
      <c r="BO23" s="32">
        <f>SUM(BO24:BO31)</f>
        <v>25407.076044169997</v>
      </c>
      <c r="BP23" s="33">
        <f>SUM(BD23:BO23)</f>
        <v>501929.41609708004</v>
      </c>
      <c r="BQ23" s="32">
        <f>SUM(BQ24:BQ31)</f>
        <v>114171.56830003001</v>
      </c>
      <c r="BR23" s="32">
        <f>SUM(BR24:BR31)</f>
        <v>75913.19085340001</v>
      </c>
      <c r="BS23" s="32">
        <f>SUM(BS24:BS31)</f>
        <v>30244.029165259999</v>
      </c>
      <c r="BT23" s="32">
        <f>SUM(BT24:BT31)</f>
        <v>28258.39450710615</v>
      </c>
      <c r="BU23" s="32">
        <f>SUM(BU24:BU31)</f>
        <v>11138.259433210002</v>
      </c>
      <c r="BV23" s="32">
        <f>SUM(BV24:BV31)</f>
        <v>50583.153022800005</v>
      </c>
      <c r="BW23" s="32">
        <f>SUM(BW24:BW31)</f>
        <v>143553.98422720001</v>
      </c>
      <c r="BX23" s="32">
        <f>SUM(BX24:BX31)</f>
        <v>68164.630849090012</v>
      </c>
      <c r="BY23" s="32">
        <f>SUM(BY24:BY31)</f>
        <v>35462.49909165001</v>
      </c>
      <c r="BZ23" s="32">
        <f>SUM(BZ24:BZ31)</f>
        <v>24916.602299610004</v>
      </c>
      <c r="CA23" s="32">
        <f>SUM(CA24:CA31)</f>
        <v>28956.063903999995</v>
      </c>
      <c r="CB23" s="32">
        <f>SUM(CB24:CB31)</f>
        <v>35823.869555069999</v>
      </c>
      <c r="CC23" s="33">
        <f>SUM(BQ23:CB23)</f>
        <v>647186.24520842615</v>
      </c>
      <c r="CD23" s="32">
        <f>SUM(CD24:CD31)</f>
        <v>121663.24734841997</v>
      </c>
      <c r="CE23" s="32">
        <f>SUM(CE24:CE31)</f>
        <v>12962.05618569</v>
      </c>
      <c r="CF23" s="32">
        <f>SUM(CF24:CF31)</f>
        <v>61298.534762579999</v>
      </c>
      <c r="CG23" s="32">
        <f>SUM(CG24:CG31)</f>
        <v>54724.459827469989</v>
      </c>
      <c r="CH23" s="32">
        <f>SUM(CH24:CH31)</f>
        <v>63968.604055910007</v>
      </c>
      <c r="CI23" s="32">
        <f>SUM(CI24:CI31)</f>
        <v>22434.397025639995</v>
      </c>
      <c r="CJ23" s="32">
        <f>SUM(CJ24:CJ31)</f>
        <v>83166.629746430001</v>
      </c>
      <c r="CK23" s="32">
        <f>SUM(CK24:CK31)</f>
        <v>22697.570228750348</v>
      </c>
      <c r="CL23" s="32">
        <f>SUM(CL24:CL31)</f>
        <v>69487.815786549996</v>
      </c>
      <c r="CM23" s="32">
        <f>SUM(CM24:CM31)</f>
        <v>21914.874005879996</v>
      </c>
      <c r="CN23" s="32">
        <f>SUM(CN24:CN31)</f>
        <v>9059.8533998500061</v>
      </c>
      <c r="CO23" s="32">
        <f>SUM(CO24:CO31)</f>
        <v>8024.8646225499997</v>
      </c>
      <c r="CP23" s="33">
        <f>+SUM(CD23:CO23)</f>
        <v>551402.90699572023</v>
      </c>
      <c r="CQ23" s="32">
        <f>SUM(CQ24:CQ31)</f>
        <v>133143.71959167998</v>
      </c>
      <c r="CR23" s="32">
        <f>SUM(CR24:CR31)</f>
        <v>18981.588201370007</v>
      </c>
      <c r="CS23" s="32">
        <f>SUM(CS24:CS31)</f>
        <v>63161.398493030014</v>
      </c>
      <c r="CT23" s="32">
        <f>SUM(CT24:CT31)</f>
        <v>93111.616626580013</v>
      </c>
      <c r="CU23" s="32">
        <f>SUM(CU24:CU31)</f>
        <v>7866.9122095600005</v>
      </c>
      <c r="CV23" s="32">
        <f>SUM(CV24:CV31)</f>
        <v>1634.80205295</v>
      </c>
      <c r="CW23" s="32">
        <f>SUM(CW24:CW31)</f>
        <v>79731.205893310005</v>
      </c>
      <c r="CX23" s="32">
        <f>SUM(CX24:CX31)</f>
        <v>66112.00999512001</v>
      </c>
      <c r="CY23" s="32">
        <f>SUM(CY24:CY31)</f>
        <v>57658.991966220019</v>
      </c>
      <c r="CZ23" s="32">
        <f>SUM(CZ24:CZ31)</f>
        <v>84007.711333230021</v>
      </c>
      <c r="DA23" s="32">
        <f>SUM(DA24:DA31)</f>
        <v>9588.4900740199973</v>
      </c>
      <c r="DB23" s="32">
        <f>SUM(DB24:DB31)</f>
        <v>6056.4342326699998</v>
      </c>
      <c r="DC23" s="33">
        <f>+SUM(CQ23:DB23)</f>
        <v>621054.88066974003</v>
      </c>
      <c r="DD23" s="32">
        <f>SUM(DD24:DD31)</f>
        <v>120065.11908677002</v>
      </c>
      <c r="DE23" s="32">
        <f>SUM(DE24:DE31)</f>
        <v>15226.776543360007</v>
      </c>
      <c r="DF23" s="32">
        <f>SUM(DF24:DF31)</f>
        <v>73511.108044599983</v>
      </c>
      <c r="DG23" s="32">
        <f>SUM(DG24:DG31)</f>
        <v>111974.47576268</v>
      </c>
      <c r="DH23" s="32">
        <f>SUM(DH24:DH31)</f>
        <v>72541.118753059985</v>
      </c>
      <c r="DI23" s="32">
        <f>SUM(DI24:DI31)</f>
        <v>1346.7029524</v>
      </c>
      <c r="DJ23" s="32">
        <f>SUM(DJ24:DJ31)</f>
        <v>67922.967900650023</v>
      </c>
      <c r="DK23" s="32">
        <f>SUM(DK24:DK31)</f>
        <v>16149.149537220002</v>
      </c>
      <c r="DL23" s="32">
        <f>SUM(DL24:DL31)</f>
        <v>61731.057118119992</v>
      </c>
      <c r="DM23" s="32">
        <f>SUM(DM24:DM31)</f>
        <v>148308.89101552003</v>
      </c>
      <c r="DN23" s="32">
        <f>SUM(DN24:DN31)</f>
        <v>11631.87903979062</v>
      </c>
      <c r="DO23" s="32">
        <f>SUM(DO24:DO31)</f>
        <v>6166.0380197276572</v>
      </c>
      <c r="DP23" s="33">
        <f>+SUM(DD23:DO23)</f>
        <v>706575.2837738985</v>
      </c>
      <c r="DQ23" s="32">
        <f>SUM(DQ24:DQ31)</f>
        <v>143928.48217665998</v>
      </c>
      <c r="DR23" s="32">
        <f>SUM(DR24:DR31)</f>
        <v>16311.61668832</v>
      </c>
      <c r="DS23" s="32">
        <f>SUM(DS24:DS31)</f>
        <v>1767.5722133900001</v>
      </c>
      <c r="DT23" s="32">
        <f>SUM(DT24:DT31)</f>
        <v>160596.80716016996</v>
      </c>
      <c r="DU23" s="32">
        <f>SUM(DU24:DU31)</f>
        <v>11109.731390750001</v>
      </c>
      <c r="DV23" s="32">
        <f>SUM(DV24:DV31)</f>
        <v>1666.1433802400002</v>
      </c>
      <c r="DW23" s="32">
        <f>SUM(DW24:DW31)</f>
        <v>97390.845239379996</v>
      </c>
      <c r="DX23" s="32">
        <f>SUM(DX24:DX31)</f>
        <v>99382.744253810015</v>
      </c>
      <c r="DY23" s="32">
        <f>SUM(DY24:DY31)</f>
        <v>16218.808856439999</v>
      </c>
      <c r="DZ23" s="32">
        <f>SUM(DZ24:DZ31)</f>
        <v>112978.92328554002</v>
      </c>
      <c r="EA23" s="32">
        <f>SUM(EA24:EA31)</f>
        <v>14023.36356285</v>
      </c>
      <c r="EB23" s="32">
        <f>SUM(EB24:EB31)</f>
        <v>41826.398366800007</v>
      </c>
      <c r="EC23" s="33">
        <f>+SUM(DQ23:EB23)</f>
        <v>717201.43657435011</v>
      </c>
      <c r="ED23" s="32">
        <f>SUM(ED24:ED31)</f>
        <v>145332.94709415</v>
      </c>
      <c r="EE23" s="32">
        <f>SUM(EE24:EE31)</f>
        <v>17345.018940580001</v>
      </c>
      <c r="EF23" s="32">
        <f>SUM(EF24:EF31)</f>
        <v>13222.93927852</v>
      </c>
      <c r="EG23" s="32">
        <f>SUM(EG24:EG31)</f>
        <v>74415.969912770001</v>
      </c>
      <c r="EH23" s="32">
        <f>SUM(EH24:EH31)</f>
        <v>65488.754359439998</v>
      </c>
      <c r="EI23" s="32">
        <f>SUM(EI24:EI31)</f>
        <v>1402.4849316300001</v>
      </c>
      <c r="EJ23" s="32">
        <f>SUM(EJ24:EJ31)</f>
        <v>96392.932171310007</v>
      </c>
      <c r="EK23" s="32">
        <f>SUM(EK24:EK31)</f>
        <v>17749.025026629999</v>
      </c>
      <c r="EL23" s="32">
        <f>SUM(EL24:EL31)</f>
        <v>56935.27195178</v>
      </c>
      <c r="EM23" s="32">
        <f>SUM(EM24:EM31)</f>
        <v>82737.266860720003</v>
      </c>
      <c r="EN23" s="32">
        <f>SUM(EN24:EN31)</f>
        <v>12861.895170969998</v>
      </c>
      <c r="EO23" s="32">
        <f>SUM(EO24:EO31)</f>
        <v>1918.6266087500001</v>
      </c>
      <c r="EP23" s="33">
        <f>+SUM(ED23:EO23)</f>
        <v>585803.13230725005</v>
      </c>
      <c r="EQ23" s="32">
        <f>SUM(EQ24:EQ31)</f>
        <v>106895.81008317998</v>
      </c>
      <c r="ER23" s="32">
        <f>SUM(ER24:ER31)</f>
        <v>18177.709066299998</v>
      </c>
      <c r="ES23" s="32">
        <f>SUM(ES24:ES31)</f>
        <v>53513.523203380006</v>
      </c>
      <c r="ET23" s="32">
        <f>SUM(ET24:ET31)</f>
        <v>98448.756094470009</v>
      </c>
      <c r="EU23" s="32">
        <f>SUM(EU24:EU31)</f>
        <v>15034.63328054</v>
      </c>
      <c r="EV23" s="32">
        <f>SUM(EV24:EV31)</f>
        <v>21922.942839479998</v>
      </c>
      <c r="EW23" s="32">
        <f>SUM(EW24:EW31)</f>
        <v>88572.022214610013</v>
      </c>
      <c r="EX23" s="32">
        <f>SUM(EX24:EX31)</f>
        <v>81039.40519759999</v>
      </c>
      <c r="EY23" s="32">
        <f>SUM(EY24:EY31)</f>
        <v>84155.719109149984</v>
      </c>
      <c r="EZ23" s="32">
        <f>SUM(EZ24:EZ31)</f>
        <v>89635.425601829978</v>
      </c>
      <c r="FA23" s="32">
        <f>SUM(FA24:FA31)</f>
        <v>17069.20297179</v>
      </c>
      <c r="FB23" s="32">
        <f>SUM(FB24:FB31)</f>
        <v>2836.8568266899993</v>
      </c>
      <c r="FC23" s="33">
        <f>+SUM(EQ23:FB23)</f>
        <v>677302.00648902007</v>
      </c>
      <c r="FD23" s="32">
        <f>SUM(FD24:FD31)</f>
        <v>145075.45792860998</v>
      </c>
      <c r="FE23" s="32">
        <f>SUM(FE24:FE31)</f>
        <v>18644.592471409997</v>
      </c>
      <c r="FF23" s="32">
        <f>SUM(FF24:FF31)</f>
        <v>68781.623913830015</v>
      </c>
      <c r="FG23" s="32">
        <f>SUM(FG24:FG31)</f>
        <v>125915.54742164999</v>
      </c>
      <c r="FH23" s="32">
        <f>SUM(FH24:FH31)</f>
        <v>98880.059494799993</v>
      </c>
      <c r="FI23" s="32">
        <f>SUM(FI24:FI31)</f>
        <v>2725.23563526</v>
      </c>
      <c r="FJ23" s="32">
        <f>SUM(FJ24:FJ31)</f>
        <v>75156.06813900001</v>
      </c>
      <c r="FK23" s="32">
        <f>SUM(FK24:FK31)</f>
        <v>20541.562732909999</v>
      </c>
      <c r="FL23" s="32">
        <f>SUM(FL24:FL31)</f>
        <v>7942.9684513599987</v>
      </c>
      <c r="FM23" s="32">
        <f>SUM(FM24:FM31)</f>
        <v>110738.26484505001</v>
      </c>
      <c r="FN23" s="32">
        <f>SUM(FN24:FN31)</f>
        <v>13143.61661897</v>
      </c>
      <c r="FO23" s="32">
        <f>SUM(FO24:FO31)</f>
        <v>11262.393088589999</v>
      </c>
      <c r="FP23" s="33">
        <f>+SUM(FD23:FO23)</f>
        <v>698807.39074144</v>
      </c>
      <c r="FQ23" s="32">
        <f>SUM(FQ24:FQ31)</f>
        <v>118987.32784897998</v>
      </c>
      <c r="FR23" s="32">
        <f>SUM(FR24:FR31)</f>
        <v>22233.844523149997</v>
      </c>
      <c r="FS23" s="32">
        <f>SUM(FS24:FS31)</f>
        <v>143467.64399133</v>
      </c>
      <c r="FT23" s="32">
        <f>SUM(FT24:FT31)</f>
        <v>120778.55461458999</v>
      </c>
      <c r="FU23" s="32">
        <f>SUM(FU24:FU31)</f>
        <v>12703.849706549998</v>
      </c>
      <c r="FV23" s="32">
        <f>SUM(FV24:FV31)</f>
        <v>2409.9084517200004</v>
      </c>
      <c r="FW23" s="32">
        <f>SUM(FW24:FW31)</f>
        <v>211070.85991406997</v>
      </c>
      <c r="FX23" s="32">
        <f>SUM(FX24:FX31)</f>
        <v>81591.118286080004</v>
      </c>
      <c r="FY23" s="32">
        <f>SUM(FY24:FY31)</f>
        <v>74450.037112929989</v>
      </c>
      <c r="FZ23" s="32">
        <f>SUM(FZ24:FZ31)</f>
        <v>96473.962607100009</v>
      </c>
      <c r="GA23" s="32">
        <f>SUM(GA24:GA31)</f>
        <v>18577.515348519999</v>
      </c>
      <c r="GB23" s="32">
        <f>SUM(GB24:GB31)</f>
        <v>3600.5648353999995</v>
      </c>
      <c r="GC23" s="33">
        <f>+SUM(FQ23:GB23)</f>
        <v>906345.18724041991</v>
      </c>
      <c r="GD23" s="32">
        <f>SUM(GD24:GD31)</f>
        <v>129944.28440361001</v>
      </c>
      <c r="GE23" s="32">
        <f>SUM(GE24:GE31)</f>
        <v>65859.318874969991</v>
      </c>
      <c r="GF23" s="32">
        <f>SUM(GF24:GF31)</f>
        <v>163412.48937507</v>
      </c>
      <c r="GG23" s="32">
        <f>SUM(GG24:GG31)</f>
        <v>332912.7367797101</v>
      </c>
      <c r="GH23" s="32">
        <f>SUM(GH24:GH31)</f>
        <v>98501.869078650008</v>
      </c>
      <c r="GI23" s="32">
        <f>SUM(GI24:GI31)</f>
        <v>2111.0829636599997</v>
      </c>
      <c r="GJ23" s="32">
        <f>SUM(GJ24:GJ31)</f>
        <v>114376.67313324001</v>
      </c>
      <c r="GK23" s="32">
        <f>SUM(GK24:GK31)</f>
        <v>25911.108623339998</v>
      </c>
      <c r="GL23" s="32">
        <f>SUM(GL24:GL31)</f>
        <v>236033.29443982002</v>
      </c>
      <c r="GM23" s="32">
        <f>SUM(GM24:GM31)</f>
        <v>271416.89428489003</v>
      </c>
      <c r="GN23" s="32">
        <f>SUM(GN24:GN31)</f>
        <v>17774.314794169997</v>
      </c>
      <c r="GO23" s="32">
        <f>SUM(GO24:GO31)</f>
        <v>6604.99337535</v>
      </c>
      <c r="GP23" s="33">
        <f>+SUM(GD23:GO23)</f>
        <v>1464859.0601264802</v>
      </c>
      <c r="GQ23" s="32">
        <f>SUM(GQ24:GQ31)</f>
        <v>143305.82663771999</v>
      </c>
      <c r="GR23" s="32">
        <f>SUM(GR24:GR31)</f>
        <v>30283.015582519998</v>
      </c>
      <c r="GS23" s="32">
        <f>SUM(GS24:GS31)</f>
        <v>271276.70967423997</v>
      </c>
      <c r="GT23" s="32">
        <f>SUM(GT24:GT31)</f>
        <v>128620.80111593999</v>
      </c>
      <c r="GU23" s="32">
        <f>SUM(GU24:GU31)</f>
        <v>20665.720600589997</v>
      </c>
      <c r="GV23" s="32">
        <f>SUM(GV24:GV31)</f>
        <v>2633.1567880299999</v>
      </c>
      <c r="GW23" s="32">
        <f>SUM(GW24:GW31)</f>
        <v>140719.43237250001</v>
      </c>
      <c r="GX23" s="32">
        <f>SUM(GX24:GX31)</f>
        <v>199980.45626616004</v>
      </c>
      <c r="GY23" s="32">
        <f>SUM(GY24:GY31)</f>
        <v>186020.97111482001</v>
      </c>
      <c r="GZ23" s="32">
        <f>SUM(GZ24:GZ31)</f>
        <v>109745.19732012</v>
      </c>
      <c r="HA23" s="32">
        <f>SUM(HA24:HA31)</f>
        <v>25345.68372117</v>
      </c>
      <c r="HB23" s="32">
        <f>SUM(HB24:HB31)</f>
        <v>4185.6174410599997</v>
      </c>
      <c r="HC23" s="33">
        <f>+SUM(GQ23:HB23)</f>
        <v>1262782.58863487</v>
      </c>
      <c r="HD23" s="32">
        <f>SUM(HD24:HD31)</f>
        <v>300469.35953379999</v>
      </c>
      <c r="HE23" s="32">
        <f>SUM(HE24:HE31)</f>
        <v>27922.63333846</v>
      </c>
      <c r="HF23" s="32">
        <f>SUM(HF24:HF31)</f>
        <v>188340.17350867999</v>
      </c>
      <c r="HG23" s="32">
        <f>SUM(HG24:HG31)</f>
        <v>34388.070016179998</v>
      </c>
      <c r="HH23" s="32">
        <f>SUM(HH24:HH31)</f>
        <v>214458.53892601997</v>
      </c>
      <c r="HI23" s="32">
        <f>SUM(HI24:HI31)</f>
        <v>5818.3650051099994</v>
      </c>
      <c r="HJ23" s="32">
        <f>SUM(HJ24:HJ31)</f>
        <v>224206.86074656999</v>
      </c>
      <c r="HK23" s="32">
        <f>SUM(HK24:HK31)</f>
        <v>33822.296605350006</v>
      </c>
      <c r="HL23" s="32">
        <f>SUM(HL24:HL31)</f>
        <v>323217.81414036005</v>
      </c>
      <c r="HM23" s="32">
        <f>SUM(HM24:HM31)</f>
        <v>26107.202688700007</v>
      </c>
      <c r="HN23" s="32">
        <f>SUM(HN24:HN31)</f>
        <v>24074.478347250002</v>
      </c>
      <c r="HO23" s="32">
        <f>SUM(HO24:HO31)</f>
        <v>2692.6552263399999</v>
      </c>
      <c r="HP23" s="33">
        <f>+SUM(HD23:HO23)</f>
        <v>1405518.4480828203</v>
      </c>
      <c r="HQ23" s="32">
        <f>SUM(HQ24:HQ31)</f>
        <v>311118.64140433003</v>
      </c>
      <c r="HR23" s="32">
        <f>SUM(HR24:HR31)</f>
        <v>35251.435100770002</v>
      </c>
      <c r="HS23" s="32">
        <f>SUM(HS24:HS31)</f>
        <v>181002.28619816998</v>
      </c>
      <c r="HT23" s="32">
        <f>SUM(HT24:HT31)</f>
        <v>123433.42731347001</v>
      </c>
      <c r="HU23" s="32">
        <f>SUM(HU24:HU31)</f>
        <v>24768.098109740004</v>
      </c>
      <c r="HV23" s="32">
        <f>SUM(HV24:HV31)</f>
        <v>10892.037226590001</v>
      </c>
      <c r="HW23" s="32">
        <f>SUM(HW24:HW31)</f>
        <v>128834.70206228</v>
      </c>
      <c r="HX23" s="32">
        <f>SUM(HX24:HX31)</f>
        <v>270721.03001738997</v>
      </c>
      <c r="HY23" s="32">
        <f>SUM(HY24:HY31)</f>
        <v>239354.42190714998</v>
      </c>
      <c r="HZ23" s="32">
        <f>SUM(HZ24:HZ31)</f>
        <v>67289.704012729984</v>
      </c>
      <c r="IA23" s="32">
        <f>SUM(IA24:IA31)</f>
        <v>26100.32817923</v>
      </c>
      <c r="IB23" s="32">
        <f>SUM(IB24:IB31)</f>
        <v>13562.314922900001</v>
      </c>
      <c r="IC23" s="33">
        <f>+SUM(HQ23:IB23)</f>
        <v>1432328.4264547499</v>
      </c>
      <c r="ID23" s="32">
        <f>SUM(ID24:ID31)</f>
        <v>225361.54810537997</v>
      </c>
      <c r="IE23" s="32">
        <f>SUM(IE24:IE31)</f>
        <v>33976.281309439997</v>
      </c>
      <c r="IF23" s="32">
        <f>SUM(IF24:IF31)</f>
        <v>186102.34675271003</v>
      </c>
      <c r="IG23" s="32">
        <f>SUM(IG24:IG31)</f>
        <v>163038.09003905999</v>
      </c>
      <c r="IH23" s="32">
        <f>SUM(IH24:IH31)</f>
        <v>183523.40272507005</v>
      </c>
      <c r="II23" s="32">
        <f>SUM(II24:II31)</f>
        <v>6689.3160936200002</v>
      </c>
      <c r="IJ23" s="32">
        <f>SUM(IJ24:IJ31)</f>
        <v>149296.7092021</v>
      </c>
      <c r="IK23" s="32">
        <f>SUM(IK24:IK31)</f>
        <v>38616.855372099999</v>
      </c>
      <c r="IL23" s="32">
        <f>SUM(IL24:IL31)</f>
        <v>257354.14139848002</v>
      </c>
      <c r="IM23" s="32">
        <f>SUM(IM24:IM31)</f>
        <v>119856.12812864</v>
      </c>
      <c r="IN23" s="32">
        <f>SUM(IN24:IN31)</f>
        <v>26747.527595889998</v>
      </c>
      <c r="IO23" s="32">
        <f>SUM(IO24:IO31)</f>
        <v>4546.7155499600003</v>
      </c>
      <c r="IP23" s="33">
        <f>+SUM(ID23:IO23)</f>
        <v>1395109.06227245</v>
      </c>
      <c r="IQ23" s="32">
        <f>SUM(IQ24:IQ31)</f>
        <v>212890.16815710001</v>
      </c>
      <c r="IR23" s="32">
        <f>SUM(IR24:IR31)</f>
        <v>40456.72357283</v>
      </c>
      <c r="IS23" s="32">
        <f>SUM(IS24:IS31)</f>
        <v>395604.99404795998</v>
      </c>
      <c r="IT23" s="32">
        <f>SUM(IT24:IT31)</f>
        <v>133054.42790306002</v>
      </c>
      <c r="IU23" s="32">
        <f>SUM(IU24:IU31)</f>
        <v>30618.259850899998</v>
      </c>
      <c r="IV23" s="32">
        <f>SUM(IV24:IV31)</f>
        <v>6136.8411362099996</v>
      </c>
      <c r="IW23" s="32">
        <f>SUM(IW24:IW31)</f>
        <v>260051.87602121002</v>
      </c>
      <c r="IX23" s="32">
        <f>SUM(IX24:IX31)</f>
        <v>295390.04872601997</v>
      </c>
      <c r="IY23" s="33">
        <f>+SUM(IQ23:IX23)</f>
        <v>1374203.3394152899</v>
      </c>
    </row>
    <row r="24" spans="1:259" s="11" customFormat="1" ht="20.100000000000001" customHeight="1" x14ac:dyDescent="0.25">
      <c r="A24" s="20" t="s">
        <v>18</v>
      </c>
      <c r="B24" s="27">
        <v>30372.295076850001</v>
      </c>
      <c r="C24" s="27">
        <v>19464.556453450001</v>
      </c>
      <c r="D24" s="27">
        <v>57558.214822260001</v>
      </c>
      <c r="E24" s="27">
        <v>3137.7889814499999</v>
      </c>
      <c r="F24" s="27">
        <v>29752.43799147999</v>
      </c>
      <c r="G24" s="27">
        <v>40626.108806269993</v>
      </c>
      <c r="H24" s="27">
        <v>18100.465801680006</v>
      </c>
      <c r="I24" s="27">
        <v>30078.819791589998</v>
      </c>
      <c r="J24" s="27">
        <v>58299.527240649993</v>
      </c>
      <c r="K24" s="27">
        <v>3784.2782058099997</v>
      </c>
      <c r="L24" s="27">
        <v>27058.940461729999</v>
      </c>
      <c r="M24" s="27">
        <v>45944.949517860005</v>
      </c>
      <c r="N24" s="27">
        <v>9320.7927229499983</v>
      </c>
      <c r="O24" s="27">
        <v>25455.214986070001</v>
      </c>
      <c r="P24" s="28">
        <f>SUM(D24:O24)</f>
        <v>349117.5393298</v>
      </c>
      <c r="Q24" s="27">
        <v>57319.28097211002</v>
      </c>
      <c r="R24" s="27">
        <v>3893.2548987500004</v>
      </c>
      <c r="S24" s="27">
        <v>23435.189554669996</v>
      </c>
      <c r="T24" s="27">
        <v>64944.585158389993</v>
      </c>
      <c r="U24" s="27">
        <v>6434.2766245900002</v>
      </c>
      <c r="V24" s="27">
        <v>22466.04593901</v>
      </c>
      <c r="W24" s="27">
        <v>77901.320099029996</v>
      </c>
      <c r="X24" s="27">
        <v>5218.2137283600014</v>
      </c>
      <c r="Y24" s="27">
        <v>21452.285653579998</v>
      </c>
      <c r="Z24" s="27">
        <v>25401.348920990004</v>
      </c>
      <c r="AA24" s="27">
        <v>6897.3036308900064</v>
      </c>
      <c r="AB24" s="27">
        <v>25754.092194019999</v>
      </c>
      <c r="AC24" s="28">
        <f>SUM(Q24:AB24)</f>
        <v>341117.19737439003</v>
      </c>
      <c r="AD24" s="27">
        <v>88225.145355410044</v>
      </c>
      <c r="AE24" s="27">
        <v>3225.3844280099988</v>
      </c>
      <c r="AF24" s="27">
        <v>24253.59040954</v>
      </c>
      <c r="AG24" s="27">
        <v>33326.043063910009</v>
      </c>
      <c r="AH24" s="27">
        <v>30110.672668370004</v>
      </c>
      <c r="AI24" s="27">
        <v>14978.532104535741</v>
      </c>
      <c r="AJ24" s="27">
        <v>41545.953527990016</v>
      </c>
      <c r="AK24" s="27">
        <v>3691.092944460001</v>
      </c>
      <c r="AL24" s="27">
        <v>39576.421128219998</v>
      </c>
      <c r="AM24" s="27">
        <v>45415.158240150005</v>
      </c>
      <c r="AN24" s="27">
        <v>16730.657441980002</v>
      </c>
      <c r="AO24" s="27">
        <v>30256.689797390001</v>
      </c>
      <c r="AP24" s="28">
        <f>SUM(AD24:AO24)</f>
        <v>371335.34110996581</v>
      </c>
      <c r="AQ24" s="27">
        <v>98479.185936739988</v>
      </c>
      <c r="AR24" s="27">
        <v>4241.0161725299995</v>
      </c>
      <c r="AS24" s="27">
        <v>42234.817896500004</v>
      </c>
      <c r="AT24" s="27">
        <v>18702.576427029999</v>
      </c>
      <c r="AU24" s="27">
        <v>7697.0497802297477</v>
      </c>
      <c r="AV24" s="27">
        <v>50494.880557219993</v>
      </c>
      <c r="AW24" s="27">
        <v>59666.757968149992</v>
      </c>
      <c r="AX24" s="27">
        <v>36947.677266959996</v>
      </c>
      <c r="AY24" s="27">
        <v>31071.534617100002</v>
      </c>
      <c r="AZ24" s="27">
        <v>41006.41662945001</v>
      </c>
      <c r="BA24" s="19">
        <v>11763.530930160003</v>
      </c>
      <c r="BB24" s="19">
        <v>14770.401408999998</v>
      </c>
      <c r="BC24" s="18">
        <f>SUM(AQ24:BB24)</f>
        <v>417075.84559106972</v>
      </c>
      <c r="BD24" s="19">
        <v>110779.71639289</v>
      </c>
      <c r="BE24" s="19">
        <v>6414.2336640500025</v>
      </c>
      <c r="BF24" s="19">
        <v>32219.36061394</v>
      </c>
      <c r="BG24" s="19">
        <v>22506.265371450001</v>
      </c>
      <c r="BH24" s="19">
        <v>44399.903658160008</v>
      </c>
      <c r="BI24" s="19">
        <v>17749.081282109997</v>
      </c>
      <c r="BJ24" s="19">
        <v>121004.48333036003</v>
      </c>
      <c r="BK24" s="19">
        <v>6474.5643965699983</v>
      </c>
      <c r="BL24" s="19">
        <v>6987.4139918500005</v>
      </c>
      <c r="BM24" s="19">
        <v>29544.010062970003</v>
      </c>
      <c r="BN24" s="19">
        <v>23706.385427720004</v>
      </c>
      <c r="BO24" s="19">
        <v>21197.466671349997</v>
      </c>
      <c r="BP24" s="18">
        <f>SUM(BD24:BO24)</f>
        <v>442982.88486341998</v>
      </c>
      <c r="BQ24" s="19">
        <v>109895.35355968001</v>
      </c>
      <c r="BR24" s="19">
        <v>8609.4252820500042</v>
      </c>
      <c r="BS24" s="19">
        <v>28100.631804639997</v>
      </c>
      <c r="BT24" s="19">
        <v>24932.846998180001</v>
      </c>
      <c r="BU24" s="19">
        <v>7434.8293454700015</v>
      </c>
      <c r="BV24" s="19">
        <v>430.24116045000005</v>
      </c>
      <c r="BW24" s="19">
        <v>140111.55785318001</v>
      </c>
      <c r="BX24" s="19">
        <v>47998.117891090005</v>
      </c>
      <c r="BY24" s="19">
        <v>26217.904006700002</v>
      </c>
      <c r="BZ24" s="19">
        <v>23010.261550820003</v>
      </c>
      <c r="CA24" s="19">
        <v>21396.131906249997</v>
      </c>
      <c r="CB24" s="19">
        <v>312.32671654999996</v>
      </c>
      <c r="CC24" s="18">
        <f>SUM(BQ24:CB24)</f>
        <v>438449.62807506003</v>
      </c>
      <c r="CD24" s="19">
        <v>118538.71851275997</v>
      </c>
      <c r="CE24" s="19">
        <v>11080.939739670001</v>
      </c>
      <c r="CF24" s="19">
        <v>56930.317320840004</v>
      </c>
      <c r="CG24" s="19">
        <v>52254.183726479991</v>
      </c>
      <c r="CH24" s="19">
        <v>57456.977785409996</v>
      </c>
      <c r="CI24" s="19">
        <v>15009.082697739996</v>
      </c>
      <c r="CJ24" s="19">
        <v>80053.141779950005</v>
      </c>
      <c r="CK24" s="19">
        <v>12021.785041360348</v>
      </c>
      <c r="CL24" s="19">
        <v>67547.993510259999</v>
      </c>
      <c r="CM24" s="19">
        <v>19716.717473799996</v>
      </c>
      <c r="CN24" s="19">
        <v>5796.8075761600048</v>
      </c>
      <c r="CO24" s="19">
        <v>5069.0137416600001</v>
      </c>
      <c r="CP24" s="18">
        <f>+SUM(CD24:CO24)</f>
        <v>501475.67890609032</v>
      </c>
      <c r="CQ24" s="19">
        <v>129418.78548066998</v>
      </c>
      <c r="CR24" s="19">
        <v>13279.793290350006</v>
      </c>
      <c r="CS24" s="19">
        <v>61566.103558790011</v>
      </c>
      <c r="CT24" s="19">
        <v>92023.632112950014</v>
      </c>
      <c r="CU24" s="19">
        <v>6389.4904290500008</v>
      </c>
      <c r="CV24" s="19">
        <v>240.85238812</v>
      </c>
      <c r="CW24" s="19">
        <v>76705.073297599985</v>
      </c>
      <c r="CX24" s="19">
        <v>57486.219259529993</v>
      </c>
      <c r="CY24" s="19">
        <v>54538.119152320018</v>
      </c>
      <c r="CZ24" s="19">
        <v>82661.274647960017</v>
      </c>
      <c r="DA24" s="19">
        <v>6949.9531686199971</v>
      </c>
      <c r="DB24" s="19">
        <v>262.45268498999991</v>
      </c>
      <c r="DC24" s="18">
        <f>+SUM(CQ24:DB24)</f>
        <v>581521.7494709501</v>
      </c>
      <c r="DD24" s="19">
        <v>115467.13167564002</v>
      </c>
      <c r="DE24" s="19">
        <v>13753.562604600005</v>
      </c>
      <c r="DF24" s="19">
        <v>69414.278895419979</v>
      </c>
      <c r="DG24" s="19">
        <v>111081.28177009001</v>
      </c>
      <c r="DH24" s="19">
        <v>68273.431190859992</v>
      </c>
      <c r="DI24" s="19">
        <v>213.64096466999999</v>
      </c>
      <c r="DJ24" s="19">
        <v>66097.545337690011</v>
      </c>
      <c r="DK24" s="19">
        <v>14465.703459840002</v>
      </c>
      <c r="DL24" s="19">
        <v>58601.668056009992</v>
      </c>
      <c r="DM24" s="19">
        <v>147291.56475342001</v>
      </c>
      <c r="DN24" s="19">
        <v>9980.6478537206185</v>
      </c>
      <c r="DO24" s="19">
        <v>1565.7667709676571</v>
      </c>
      <c r="DP24" s="18">
        <f>+SUM(DD24:DO24)</f>
        <v>676206.22333292826</v>
      </c>
      <c r="DQ24" s="19">
        <v>141444.24263031999</v>
      </c>
      <c r="DR24" s="19">
        <v>15185.21477975</v>
      </c>
      <c r="DS24" s="19">
        <v>620.96477794000009</v>
      </c>
      <c r="DT24" s="19">
        <v>159578.11048399998</v>
      </c>
      <c r="DU24" s="19">
        <v>9697.8587197000015</v>
      </c>
      <c r="DV24" s="19">
        <v>223.89294343</v>
      </c>
      <c r="DW24" s="19">
        <v>95621.240662819997</v>
      </c>
      <c r="DX24" s="19">
        <v>98616.088247090011</v>
      </c>
      <c r="DY24" s="19">
        <v>15428.733180769999</v>
      </c>
      <c r="DZ24" s="19">
        <v>112147.09739104002</v>
      </c>
      <c r="EA24" s="19">
        <v>11369.086036819999</v>
      </c>
      <c r="EB24" s="19">
        <v>414.12638134000008</v>
      </c>
      <c r="EC24" s="18">
        <f>+SUM(DQ24:EB24)</f>
        <v>660346.65623502003</v>
      </c>
      <c r="ED24" s="19">
        <v>142421.17140486001</v>
      </c>
      <c r="EE24" s="19">
        <v>14395.23336378</v>
      </c>
      <c r="EF24" s="19">
        <v>10529.51129224</v>
      </c>
      <c r="EG24" s="19">
        <v>73090.369796119994</v>
      </c>
      <c r="EH24" s="19">
        <v>57913.44188482</v>
      </c>
      <c r="EI24" s="19">
        <v>189.00861788999998</v>
      </c>
      <c r="EJ24" s="19">
        <v>94733.307234920008</v>
      </c>
      <c r="EK24" s="19">
        <v>15625.731364289999</v>
      </c>
      <c r="EL24" s="19">
        <v>39832.562120809998</v>
      </c>
      <c r="EM24" s="19">
        <v>80669.286894010002</v>
      </c>
      <c r="EN24" s="19">
        <v>10518.4923024</v>
      </c>
      <c r="EO24" s="19">
        <v>261.00840102000001</v>
      </c>
      <c r="EP24" s="18">
        <f>+SUM(ED24:EO24)</f>
        <v>540179.12467715982</v>
      </c>
      <c r="EQ24" s="19">
        <v>102821.52206123999</v>
      </c>
      <c r="ER24" s="19">
        <v>16318.39039611</v>
      </c>
      <c r="ES24" s="19">
        <v>52135.534930190006</v>
      </c>
      <c r="ET24" s="19">
        <v>96961.471492180004</v>
      </c>
      <c r="EU24" s="19">
        <v>11445.80459507</v>
      </c>
      <c r="EV24" s="19">
        <v>765.93995375999987</v>
      </c>
      <c r="EW24" s="19">
        <v>83438.300454900003</v>
      </c>
      <c r="EX24" s="19">
        <v>79738.598091929991</v>
      </c>
      <c r="EY24" s="19">
        <v>83049.504952759991</v>
      </c>
      <c r="EZ24" s="19">
        <v>87499.401102029995</v>
      </c>
      <c r="FA24" s="19">
        <v>13981.838340180002</v>
      </c>
      <c r="FB24" s="19">
        <v>1327.7929095299999</v>
      </c>
      <c r="FC24" s="18">
        <f>+SUM(EQ24:FB24)</f>
        <v>629484.09927987994</v>
      </c>
      <c r="FD24" s="19">
        <v>142116.27540379998</v>
      </c>
      <c r="FE24" s="19">
        <v>16102.722756419998</v>
      </c>
      <c r="FF24" s="19">
        <v>67291.232107370015</v>
      </c>
      <c r="FG24" s="19">
        <v>124348.01958058999</v>
      </c>
      <c r="FH24" s="19">
        <v>86651.46739405999</v>
      </c>
      <c r="FI24" s="19">
        <v>761.72442209000008</v>
      </c>
      <c r="FJ24" s="19">
        <v>69681.207214440001</v>
      </c>
      <c r="FK24" s="19">
        <v>18250.304846669998</v>
      </c>
      <c r="FL24" s="19">
        <v>1710.68621085</v>
      </c>
      <c r="FM24" s="19">
        <v>108587.71960722002</v>
      </c>
      <c r="FN24" s="19">
        <v>10536.829977430001</v>
      </c>
      <c r="FO24" s="19">
        <v>657.66693229000009</v>
      </c>
      <c r="FP24" s="18">
        <f>+SUM(FD24:FO24)</f>
        <v>646695.85645323002</v>
      </c>
      <c r="FQ24" s="19">
        <v>115777.80923863999</v>
      </c>
      <c r="FR24" s="19">
        <v>18540.976756379998</v>
      </c>
      <c r="FS24" s="19">
        <v>104060.97904929001</v>
      </c>
      <c r="FT24" s="19">
        <v>119298.97464963999</v>
      </c>
      <c r="FU24" s="19">
        <v>11202.138558809998</v>
      </c>
      <c r="FV24" s="19">
        <v>566.37156928000002</v>
      </c>
      <c r="FW24" s="19">
        <v>207895.51403776999</v>
      </c>
      <c r="FX24" s="19">
        <v>78150.983350250011</v>
      </c>
      <c r="FY24" s="19">
        <v>72345.474047669995</v>
      </c>
      <c r="FZ24" s="19">
        <v>94361.804229590009</v>
      </c>
      <c r="GA24" s="19">
        <v>14919.684144999999</v>
      </c>
      <c r="GB24" s="19">
        <v>1500.5839446299999</v>
      </c>
      <c r="GC24" s="18">
        <f>+SUM(FQ24:GB24)</f>
        <v>838621.29357694997</v>
      </c>
      <c r="GD24" s="19">
        <v>126750.32231995001</v>
      </c>
      <c r="GE24" s="19">
        <v>17616.743451570001</v>
      </c>
      <c r="GF24" s="19">
        <v>137381.62474203997</v>
      </c>
      <c r="GG24" s="19">
        <v>331288.15078548004</v>
      </c>
      <c r="GH24" s="19">
        <v>94058.631229300008</v>
      </c>
      <c r="GI24" s="19">
        <v>478.05934397999999</v>
      </c>
      <c r="GJ24" s="19">
        <v>112775.20111792001</v>
      </c>
      <c r="GK24" s="19">
        <v>23829.28447744</v>
      </c>
      <c r="GL24" s="19">
        <v>234345.02371293004</v>
      </c>
      <c r="GM24" s="19">
        <v>269768.92727419001</v>
      </c>
      <c r="GN24" s="19">
        <v>15999.981276159999</v>
      </c>
      <c r="GO24" s="19">
        <v>5037.4401438300001</v>
      </c>
      <c r="GP24" s="18">
        <f>+SUM(GD24:GO24)</f>
        <v>1369329.3898747901</v>
      </c>
      <c r="GQ24" s="19">
        <v>140761.54895145999</v>
      </c>
      <c r="GR24" s="19">
        <v>28583.471124349999</v>
      </c>
      <c r="GS24" s="19">
        <v>269232.43024268997</v>
      </c>
      <c r="GT24" s="19">
        <v>126934.02791523999</v>
      </c>
      <c r="GU24" s="19">
        <v>18482.748790889997</v>
      </c>
      <c r="GV24" s="19">
        <v>456.16604593</v>
      </c>
      <c r="GW24" s="19">
        <v>138406.54054392001</v>
      </c>
      <c r="GX24" s="19">
        <v>197513.65414367002</v>
      </c>
      <c r="GY24" s="19">
        <v>183994.65339461001</v>
      </c>
      <c r="GZ24" s="19">
        <v>107696.40610717</v>
      </c>
      <c r="HA24" s="19">
        <v>22531.830815639998</v>
      </c>
      <c r="HB24" s="19">
        <v>1789.94514355</v>
      </c>
      <c r="HC24" s="18">
        <f>+SUM(GQ24:HB24)</f>
        <v>1236383.4232191199</v>
      </c>
      <c r="HD24" s="19">
        <v>295622.63968922</v>
      </c>
      <c r="HE24" s="19">
        <v>25741.555045460002</v>
      </c>
      <c r="HF24" s="19">
        <v>182543.45460315997</v>
      </c>
      <c r="HG24" s="19">
        <v>32356.82369845</v>
      </c>
      <c r="HH24" s="19">
        <v>211867.09194990998</v>
      </c>
      <c r="HI24" s="19">
        <v>162.97499074000001</v>
      </c>
      <c r="HJ24" s="19">
        <v>221593.7909047</v>
      </c>
      <c r="HK24" s="19">
        <v>30756.350260700005</v>
      </c>
      <c r="HL24" s="19">
        <v>320756.85750770004</v>
      </c>
      <c r="HM24" s="19">
        <v>23428.239711790004</v>
      </c>
      <c r="HN24" s="19">
        <v>21418.993047119999</v>
      </c>
      <c r="HO24" s="19">
        <v>291.39213158000001</v>
      </c>
      <c r="HP24" s="18">
        <f>+SUM(HD24:HO24)</f>
        <v>1366540.1635405303</v>
      </c>
      <c r="HQ24" s="19">
        <v>308159.42601333</v>
      </c>
      <c r="HR24" s="19">
        <v>32408.690407260001</v>
      </c>
      <c r="HS24" s="19">
        <v>178105.68830134001</v>
      </c>
      <c r="HT24" s="19">
        <v>119895.05840239</v>
      </c>
      <c r="HU24" s="19">
        <v>21555.517677780001</v>
      </c>
      <c r="HV24" s="19">
        <v>7601.2213787000001</v>
      </c>
      <c r="HW24" s="19">
        <v>123381.87993336</v>
      </c>
      <c r="HX24" s="19">
        <v>257752.21375989998</v>
      </c>
      <c r="HY24" s="19">
        <v>233140.26404508998</v>
      </c>
      <c r="HZ24" s="19">
        <v>64141.853782479993</v>
      </c>
      <c r="IA24" s="19">
        <v>22776.422419369999</v>
      </c>
      <c r="IB24" s="19">
        <v>271.64406579000001</v>
      </c>
      <c r="IC24" s="18">
        <f>+SUM(HQ24:IB24)</f>
        <v>1369189.8801867899</v>
      </c>
      <c r="ID24" s="19">
        <v>218154.37844558997</v>
      </c>
      <c r="IE24" s="19">
        <v>30734.39747919</v>
      </c>
      <c r="IF24" s="19">
        <v>173636.20822277002</v>
      </c>
      <c r="IG24" s="19">
        <v>160166.53910766999</v>
      </c>
      <c r="IH24" s="19">
        <v>180268.90771139003</v>
      </c>
      <c r="II24" s="19">
        <v>3731.0221545200002</v>
      </c>
      <c r="IJ24" s="19">
        <v>145689.65127127001</v>
      </c>
      <c r="IK24" s="19">
        <v>35134.736796279998</v>
      </c>
      <c r="IL24" s="19">
        <v>253989.52024547002</v>
      </c>
      <c r="IM24" s="19">
        <v>116368.87578992</v>
      </c>
      <c r="IN24" s="19">
        <v>23367.426134139998</v>
      </c>
      <c r="IO24" s="19">
        <v>1008.34436914</v>
      </c>
      <c r="IP24" s="18">
        <f>+SUM(ID24:IO24)</f>
        <v>1342250.0077273501</v>
      </c>
      <c r="IQ24" s="19">
        <v>205717.29302081</v>
      </c>
      <c r="IR24" s="19">
        <v>36816.818256039995</v>
      </c>
      <c r="IS24" s="19">
        <v>335516.26472368999</v>
      </c>
      <c r="IT24" s="19">
        <v>129619.88577761</v>
      </c>
      <c r="IU24" s="19">
        <v>26439.015579669998</v>
      </c>
      <c r="IV24" s="19">
        <v>1445.25211896</v>
      </c>
      <c r="IW24" s="19">
        <v>255731.48053288</v>
      </c>
      <c r="IX24" s="19">
        <v>278146.85173843999</v>
      </c>
      <c r="IY24" s="18">
        <f>+SUM(IQ24:IX24)</f>
        <v>1269432.8617480998</v>
      </c>
    </row>
    <row r="25" spans="1:259" s="11" customFormat="1" ht="20.100000000000001" customHeight="1" x14ac:dyDescent="0.25">
      <c r="A25" s="20" t="s">
        <v>17</v>
      </c>
      <c r="B25" s="27">
        <v>1262.5316445199996</v>
      </c>
      <c r="C25" s="27">
        <v>6410.7763720900011</v>
      </c>
      <c r="D25" s="27">
        <v>106.25413016</v>
      </c>
      <c r="E25" s="27">
        <v>3024.8175125499997</v>
      </c>
      <c r="F25" s="27">
        <v>2617.3559198600005</v>
      </c>
      <c r="G25" s="27">
        <v>69.548222109999998</v>
      </c>
      <c r="H25" s="27">
        <v>5265.7438170600008</v>
      </c>
      <c r="I25" s="27">
        <v>1216.3719351000002</v>
      </c>
      <c r="J25" s="27">
        <v>212.48940861999998</v>
      </c>
      <c r="K25" s="27">
        <v>3324.7432299899997</v>
      </c>
      <c r="L25" s="27">
        <v>5235.3737946800002</v>
      </c>
      <c r="M25" s="27">
        <v>63.067501089999993</v>
      </c>
      <c r="N25" s="27">
        <v>3044.15589482</v>
      </c>
      <c r="O25" s="27">
        <v>551.59698536000008</v>
      </c>
      <c r="P25" s="28">
        <f>SUM(D25:O25)</f>
        <v>24731.518351400002</v>
      </c>
      <c r="Q25" s="27">
        <v>298.18564660999999</v>
      </c>
      <c r="R25" s="27">
        <v>2023.7540304300003</v>
      </c>
      <c r="S25" s="27">
        <v>2277.5346441800002</v>
      </c>
      <c r="T25" s="27">
        <v>168.13033318000001</v>
      </c>
      <c r="U25" s="27">
        <v>760.79299775000004</v>
      </c>
      <c r="V25" s="27">
        <v>2535.3854328300004</v>
      </c>
      <c r="W25" s="27">
        <v>52.359047939999996</v>
      </c>
      <c r="X25" s="27">
        <v>606.10176547999993</v>
      </c>
      <c r="Y25" s="27">
        <v>1028.7294230100001</v>
      </c>
      <c r="Z25" s="27">
        <v>1932.220152729999</v>
      </c>
      <c r="AA25" s="27">
        <v>2101.63926958</v>
      </c>
      <c r="AB25" s="27">
        <v>1299.8696995300002</v>
      </c>
      <c r="AC25" s="28">
        <f>SUM(Q25:AB25)</f>
        <v>15084.70244325</v>
      </c>
      <c r="AD25" s="27">
        <v>145.56219056000003</v>
      </c>
      <c r="AE25" s="27">
        <v>1017.5376226599999</v>
      </c>
      <c r="AF25" s="27">
        <v>897.82092154999998</v>
      </c>
      <c r="AG25" s="27">
        <v>216.31226021000003</v>
      </c>
      <c r="AH25" s="27">
        <v>3008.5471982700001</v>
      </c>
      <c r="AI25" s="27">
        <v>1564.5749064399999</v>
      </c>
      <c r="AJ25" s="27">
        <v>198.81194948999999</v>
      </c>
      <c r="AK25" s="27">
        <v>1061.7363839000002</v>
      </c>
      <c r="AL25" s="27">
        <v>1428.6282965400003</v>
      </c>
      <c r="AM25" s="27">
        <v>531.6748368399999</v>
      </c>
      <c r="AN25" s="27">
        <v>1689.9712637399998</v>
      </c>
      <c r="AO25" s="27">
        <v>1080.74324508</v>
      </c>
      <c r="AP25" s="28">
        <f>SUM(AD25:AO25)</f>
        <v>12841.921075280003</v>
      </c>
      <c r="AQ25" s="27">
        <v>114.53478469999999</v>
      </c>
      <c r="AR25" s="27">
        <v>25.498112459999998</v>
      </c>
      <c r="AS25" s="27">
        <v>59.96439024</v>
      </c>
      <c r="AT25" s="27">
        <v>60.662290259999999</v>
      </c>
      <c r="AU25" s="27">
        <v>302.07456929</v>
      </c>
      <c r="AV25" s="27">
        <v>57.554820339999992</v>
      </c>
      <c r="AW25" s="27">
        <v>48.265031900000004</v>
      </c>
      <c r="AX25" s="27">
        <v>4024.9004534099995</v>
      </c>
      <c r="AY25" s="27">
        <v>4948.66203804</v>
      </c>
      <c r="AZ25" s="27">
        <v>70.982312089999994</v>
      </c>
      <c r="BA25" s="27">
        <v>1872.0983135399999</v>
      </c>
      <c r="BB25" s="27">
        <v>1166.02435246</v>
      </c>
      <c r="BC25" s="28">
        <f>SUM(AQ25:BB25)</f>
        <v>12751.22146873</v>
      </c>
      <c r="BD25" s="27">
        <v>55.854380690000013</v>
      </c>
      <c r="BE25" s="27">
        <v>52.823987299999999</v>
      </c>
      <c r="BF25" s="27">
        <v>1049.3877742100001</v>
      </c>
      <c r="BG25" s="27">
        <v>88.08703233</v>
      </c>
      <c r="BH25" s="27">
        <v>109.87372352</v>
      </c>
      <c r="BI25" s="27">
        <v>778.4147591899997</v>
      </c>
      <c r="BJ25" s="27">
        <v>103.23790825</v>
      </c>
      <c r="BK25" s="27">
        <v>101.79543441999999</v>
      </c>
      <c r="BL25" s="27">
        <v>1501.4017702600004</v>
      </c>
      <c r="BM25" s="27">
        <v>112.24683786</v>
      </c>
      <c r="BN25" s="27">
        <v>82.341892400000006</v>
      </c>
      <c r="BO25" s="27">
        <v>164.62099052000002</v>
      </c>
      <c r="BP25" s="28">
        <f>SUM(BD25:BO25)</f>
        <v>4200.0864909500006</v>
      </c>
      <c r="BQ25" s="27">
        <v>184.23126861</v>
      </c>
      <c r="BR25" s="27">
        <v>106.62629679000001</v>
      </c>
      <c r="BS25" s="27">
        <v>118.26648813</v>
      </c>
      <c r="BT25" s="27">
        <v>184.63335497000003</v>
      </c>
      <c r="BU25" s="27">
        <v>181.00841097</v>
      </c>
      <c r="BV25" s="27">
        <v>436.98057091999999</v>
      </c>
      <c r="BW25" s="27">
        <v>449.22349471000001</v>
      </c>
      <c r="BX25" s="27">
        <v>4712.2144326900006</v>
      </c>
      <c r="BY25" s="27">
        <v>2960.7495362099999</v>
      </c>
      <c r="BZ25" s="27">
        <v>314.96910606</v>
      </c>
      <c r="CA25" s="27">
        <v>469.52916059</v>
      </c>
      <c r="CB25" s="27">
        <v>16250.068857490001</v>
      </c>
      <c r="CC25" s="28">
        <f>SUM(BQ25:CB25)</f>
        <v>26368.50097814</v>
      </c>
      <c r="CD25" s="27">
        <v>225.54601049999999</v>
      </c>
      <c r="CE25" s="27">
        <v>581.75808437000001</v>
      </c>
      <c r="CF25" s="27">
        <v>299.11609602999999</v>
      </c>
      <c r="CG25" s="27">
        <v>438.31617892999998</v>
      </c>
      <c r="CH25" s="27">
        <v>273.14209572000004</v>
      </c>
      <c r="CI25" s="27">
        <v>3258.4345742800001</v>
      </c>
      <c r="CJ25" s="27">
        <v>265.76519401000002</v>
      </c>
      <c r="CK25" s="27">
        <v>4594.9057824400006</v>
      </c>
      <c r="CL25" s="27">
        <v>571.31496173999994</v>
      </c>
      <c r="CM25" s="27">
        <v>931.12210754</v>
      </c>
      <c r="CN25" s="27">
        <v>612.80213945000003</v>
      </c>
      <c r="CO25" s="27">
        <v>307.49890799000002</v>
      </c>
      <c r="CP25" s="28">
        <f>+SUM(CD25:CO25)</f>
        <v>12359.722133000001</v>
      </c>
      <c r="CQ25" s="27">
        <v>599.19288388999996</v>
      </c>
      <c r="CR25" s="27">
        <v>2628.3184841700004</v>
      </c>
      <c r="CS25" s="27">
        <v>207.27172305999997</v>
      </c>
      <c r="CT25" s="27">
        <v>246.12814721999999</v>
      </c>
      <c r="CU25" s="27">
        <v>326.82134834999999</v>
      </c>
      <c r="CV25" s="27">
        <v>328.04476378000004</v>
      </c>
      <c r="CW25" s="27">
        <v>329.05719513999998</v>
      </c>
      <c r="CX25" s="27">
        <v>315.68317067000004</v>
      </c>
      <c r="CY25" s="27">
        <v>324.42453324000002</v>
      </c>
      <c r="CZ25" s="27">
        <v>377.39943167999996</v>
      </c>
      <c r="DA25" s="27">
        <v>396.70774485000004</v>
      </c>
      <c r="DB25" s="27">
        <v>522.00918166999998</v>
      </c>
      <c r="DC25" s="28">
        <f>+SUM(CQ25:DB25)</f>
        <v>6601.0586077199996</v>
      </c>
      <c r="DD25" s="27">
        <v>84.859094190000008</v>
      </c>
      <c r="DE25" s="27">
        <v>259.67392638999996</v>
      </c>
      <c r="DF25" s="27">
        <v>117.24569810000003</v>
      </c>
      <c r="DG25" s="27">
        <v>377.22327073999998</v>
      </c>
      <c r="DH25" s="27">
        <v>323.78978934000003</v>
      </c>
      <c r="DI25" s="27">
        <v>386.97034242000007</v>
      </c>
      <c r="DJ25" s="27">
        <v>428.46850938000006</v>
      </c>
      <c r="DK25" s="27">
        <v>229.12376320999996</v>
      </c>
      <c r="DL25" s="27">
        <v>2713.5407045400002</v>
      </c>
      <c r="DM25" s="27">
        <v>704.23714077000011</v>
      </c>
      <c r="DN25" s="27">
        <v>443.45666070999994</v>
      </c>
      <c r="DO25" s="27">
        <v>1483.6712643699998</v>
      </c>
      <c r="DP25" s="28">
        <f>+SUM(DD25:DO25)</f>
        <v>7552.2601641599995</v>
      </c>
      <c r="DQ25" s="27">
        <v>417.74579226999981</v>
      </c>
      <c r="DR25" s="27">
        <v>101.46589413000001</v>
      </c>
      <c r="DS25" s="27">
        <v>396.27261507999998</v>
      </c>
      <c r="DT25" s="27">
        <v>451.06458112999997</v>
      </c>
      <c r="DU25" s="27">
        <v>523.47901623999996</v>
      </c>
      <c r="DV25" s="27">
        <v>508.85446132999999</v>
      </c>
      <c r="DW25" s="27">
        <v>548.34207831000003</v>
      </c>
      <c r="DX25" s="27">
        <v>133.77115405000001</v>
      </c>
      <c r="DY25" s="27">
        <v>125.26130325</v>
      </c>
      <c r="DZ25" s="27">
        <v>73.587799129999993</v>
      </c>
      <c r="EA25" s="27">
        <v>1181.44540661</v>
      </c>
      <c r="EB25" s="27">
        <v>40676.322783920004</v>
      </c>
      <c r="EC25" s="28">
        <f>+SUM(DQ25:EB25)</f>
        <v>45137.612885450006</v>
      </c>
      <c r="ED25" s="27">
        <v>679.79080256999998</v>
      </c>
      <c r="EE25" s="27">
        <v>242.98886872</v>
      </c>
      <c r="EF25" s="27">
        <v>310.41096374</v>
      </c>
      <c r="EG25" s="27">
        <v>453.46798472</v>
      </c>
      <c r="EH25" s="27">
        <v>5374.91747803</v>
      </c>
      <c r="EI25" s="27">
        <v>505.92615864999999</v>
      </c>
      <c r="EJ25" s="27">
        <v>596.86047411000004</v>
      </c>
      <c r="EK25" s="27">
        <v>181.51483224</v>
      </c>
      <c r="EL25" s="27">
        <v>15254.905307570001</v>
      </c>
      <c r="EM25" s="27">
        <v>497.68930759</v>
      </c>
      <c r="EN25" s="27">
        <v>533.78750239999999</v>
      </c>
      <c r="EO25" s="27">
        <v>499.12392068000003</v>
      </c>
      <c r="EP25" s="28">
        <f>+SUM(ED25:EO25)</f>
        <v>25131.383601019996</v>
      </c>
      <c r="EQ25" s="27">
        <v>631.26384132999999</v>
      </c>
      <c r="ER25" s="27">
        <v>161.54507380000001</v>
      </c>
      <c r="ES25" s="27">
        <v>128.93111463999998</v>
      </c>
      <c r="ET25" s="27">
        <v>393.59098285000005</v>
      </c>
      <c r="EU25" s="27">
        <v>1512.4833052199999</v>
      </c>
      <c r="EV25" s="27">
        <v>19990.587592510001</v>
      </c>
      <c r="EW25" s="27">
        <v>4212.4952410699998</v>
      </c>
      <c r="EX25" s="27">
        <v>129.06503032000001</v>
      </c>
      <c r="EY25" s="27">
        <v>177.03165812</v>
      </c>
      <c r="EZ25" s="27">
        <v>327.67283406000001</v>
      </c>
      <c r="FA25" s="27">
        <v>308.49703166</v>
      </c>
      <c r="FB25" s="27">
        <v>407.22070298999995</v>
      </c>
      <c r="FC25" s="28">
        <f>+SUM(EQ25:FB25)</f>
        <v>28380.384408569993</v>
      </c>
      <c r="FD25" s="27">
        <v>409.07660498000001</v>
      </c>
      <c r="FE25" s="27">
        <v>98.047455620000008</v>
      </c>
      <c r="FF25" s="27">
        <v>140.44720664000002</v>
      </c>
      <c r="FG25" s="27">
        <v>135.98580301999999</v>
      </c>
      <c r="FH25" s="27">
        <v>270.37527423</v>
      </c>
      <c r="FI25" s="27">
        <v>272.66216989000003</v>
      </c>
      <c r="FJ25" s="27">
        <v>3244.6892626500003</v>
      </c>
      <c r="FK25" s="27">
        <v>185.63961620999999</v>
      </c>
      <c r="FL25" s="27">
        <v>98.543655749999999</v>
      </c>
      <c r="FM25" s="27">
        <v>194.57707525000001</v>
      </c>
      <c r="FN25" s="27">
        <v>211.60953862</v>
      </c>
      <c r="FO25" s="27">
        <v>8612.2390282999986</v>
      </c>
      <c r="FP25" s="28">
        <f>+SUM(FD25:FO25)</f>
        <v>13873.892691159999</v>
      </c>
      <c r="FQ25" s="27">
        <v>199.71299128999999</v>
      </c>
      <c r="FR25" s="27">
        <v>133.84714464000001</v>
      </c>
      <c r="FS25" s="27">
        <v>35606.952893189999</v>
      </c>
      <c r="FT25" s="27">
        <v>51.041101510000004</v>
      </c>
      <c r="FU25" s="27">
        <v>98.402576949999997</v>
      </c>
      <c r="FV25" s="27">
        <v>121.68752404</v>
      </c>
      <c r="FW25" s="27">
        <v>147.97144999</v>
      </c>
      <c r="FX25" s="27">
        <v>79.101660980000005</v>
      </c>
      <c r="FY25" s="27">
        <v>80.411013859999997</v>
      </c>
      <c r="FZ25" s="27">
        <v>103.51786048000001</v>
      </c>
      <c r="GA25" s="27">
        <v>130.88237197999999</v>
      </c>
      <c r="GB25" s="27">
        <v>147.57967639</v>
      </c>
      <c r="GC25" s="28">
        <f>+SUM(FQ25:GB25)</f>
        <v>36901.108265299998</v>
      </c>
      <c r="GD25" s="27">
        <v>166.42259218999999</v>
      </c>
      <c r="GE25" s="27">
        <v>53.713633310000006</v>
      </c>
      <c r="GF25" s="27">
        <v>47.183656549999995</v>
      </c>
      <c r="GG25" s="27">
        <v>66.58013468</v>
      </c>
      <c r="GH25" s="27">
        <v>101.37282124000001</v>
      </c>
      <c r="GI25" s="27">
        <v>97.555703570000006</v>
      </c>
      <c r="GJ25" s="27">
        <v>75.230778240000006</v>
      </c>
      <c r="GK25" s="27">
        <v>57.982925180000002</v>
      </c>
      <c r="GL25" s="27">
        <v>43.362371699999997</v>
      </c>
      <c r="GM25" s="27">
        <v>53.91808339</v>
      </c>
      <c r="GN25" s="27">
        <v>64.328192529999995</v>
      </c>
      <c r="GO25" s="27">
        <v>40.733401570000005</v>
      </c>
      <c r="GP25" s="28">
        <f>+SUM(GD25:GO25)</f>
        <v>868.38429415000019</v>
      </c>
      <c r="GQ25" s="27">
        <v>67.103362129999994</v>
      </c>
      <c r="GR25" s="27">
        <v>31.581881930000002</v>
      </c>
      <c r="GS25" s="27">
        <v>16.76309075</v>
      </c>
      <c r="GT25" s="27">
        <v>35.563162990000002</v>
      </c>
      <c r="GU25" s="27">
        <v>40.172985339999997</v>
      </c>
      <c r="GV25" s="27">
        <v>39.891034500000004</v>
      </c>
      <c r="GW25" s="27">
        <v>47.728431319999999</v>
      </c>
      <c r="GX25" s="27">
        <v>31.9606183</v>
      </c>
      <c r="GY25" s="27">
        <v>18.670182969999999</v>
      </c>
      <c r="GZ25" s="27">
        <v>21.848469570000002</v>
      </c>
      <c r="HA25" s="27">
        <v>27.864651240000001</v>
      </c>
      <c r="HB25" s="27">
        <v>16.574480019999999</v>
      </c>
      <c r="HC25" s="28">
        <f>+SUM(GQ25:HB25)</f>
        <v>395.72235105999999</v>
      </c>
      <c r="HD25" s="27">
        <v>30.481998530000002</v>
      </c>
      <c r="HE25" s="27">
        <v>16.37455469</v>
      </c>
      <c r="HF25" s="27">
        <v>13.903268629999999</v>
      </c>
      <c r="HG25" s="27">
        <v>16.351790380000001</v>
      </c>
      <c r="HH25" s="27">
        <v>32.408371289999998</v>
      </c>
      <c r="HI25" s="27">
        <v>3018.2599911399998</v>
      </c>
      <c r="HJ25" s="27">
        <v>22.48645243</v>
      </c>
      <c r="HK25" s="27">
        <v>12.896710179999999</v>
      </c>
      <c r="HL25" s="27">
        <v>20.91597664</v>
      </c>
      <c r="HM25" s="27">
        <v>12.36705555</v>
      </c>
      <c r="HN25" s="27">
        <v>22.831521650000003</v>
      </c>
      <c r="HO25" s="27">
        <v>15.218912720000001</v>
      </c>
      <c r="HP25" s="28">
        <f>+SUM(HD25:HO25)</f>
        <v>3234.4966038299995</v>
      </c>
      <c r="HQ25" s="27">
        <v>17.03069782</v>
      </c>
      <c r="HR25" s="27">
        <v>19.731965899999999</v>
      </c>
      <c r="HS25" s="27">
        <v>17.227974489999998</v>
      </c>
      <c r="HT25" s="27">
        <v>20.529943879999998</v>
      </c>
      <c r="HU25" s="27">
        <v>19.533876670000001</v>
      </c>
      <c r="HV25" s="27">
        <v>20.343738810000001</v>
      </c>
      <c r="HW25" s="27">
        <v>26.322139239999998</v>
      </c>
      <c r="HX25" s="27">
        <v>14.41709706</v>
      </c>
      <c r="HY25" s="27">
        <v>25.8648588</v>
      </c>
      <c r="HZ25" s="27">
        <v>28.077187760000001</v>
      </c>
      <c r="IA25" s="27">
        <v>21.951976379999998</v>
      </c>
      <c r="IB25" s="27">
        <v>9485.9484010800006</v>
      </c>
      <c r="IC25" s="28">
        <f>+SUM(HQ25:IB25)</f>
        <v>9716.9798578900009</v>
      </c>
      <c r="ID25" s="27">
        <v>26.69531198</v>
      </c>
      <c r="IE25" s="27">
        <v>23.752754020000001</v>
      </c>
      <c r="IF25" s="27">
        <v>33.687603580000001</v>
      </c>
      <c r="IG25" s="27">
        <v>5.8434687900000002</v>
      </c>
      <c r="IH25" s="27">
        <v>20.189508250000003</v>
      </c>
      <c r="II25" s="27">
        <v>36.131714860000002</v>
      </c>
      <c r="IJ25" s="27">
        <v>20.926692809999999</v>
      </c>
      <c r="IK25" s="27">
        <v>27.256905019999998</v>
      </c>
      <c r="IL25" s="27">
        <v>22.872180270000001</v>
      </c>
      <c r="IM25" s="27">
        <v>24.53193096</v>
      </c>
      <c r="IN25" s="27">
        <v>12.466579000000001</v>
      </c>
      <c r="IO25" s="27">
        <v>12.64244308</v>
      </c>
      <c r="IP25" s="28">
        <f>+SUM(ID25:IO25)</f>
        <v>266.99709261999999</v>
      </c>
      <c r="IQ25" s="27">
        <v>30.396116859999999</v>
      </c>
      <c r="IR25" s="27">
        <v>41.822756050000002</v>
      </c>
      <c r="IS25" s="27">
        <v>49078.976862579999</v>
      </c>
      <c r="IT25" s="27">
        <v>41.453853000000002</v>
      </c>
      <c r="IU25" s="27">
        <v>27.527833680000001</v>
      </c>
      <c r="IV25" s="27">
        <v>28.498143209999999</v>
      </c>
      <c r="IW25" s="27">
        <v>27.151532840000002</v>
      </c>
      <c r="IX25" s="27">
        <v>26.672596720000001</v>
      </c>
      <c r="IY25" s="28">
        <f>+SUM(IQ25:IX25)</f>
        <v>49302.499694939994</v>
      </c>
    </row>
    <row r="26" spans="1:259" s="11" customFormat="1" ht="20.100000000000001" customHeight="1" x14ac:dyDescent="0.25">
      <c r="A26" s="20" t="s">
        <v>16</v>
      </c>
      <c r="B26" s="27">
        <v>19446.569127659997</v>
      </c>
      <c r="C26" s="27">
        <v>8016.1613461300003</v>
      </c>
      <c r="D26" s="27">
        <v>11293.636332560001</v>
      </c>
      <c r="E26" s="27">
        <v>12697.850900470001</v>
      </c>
      <c r="F26" s="27">
        <v>9459.2350810799999</v>
      </c>
      <c r="G26" s="27">
        <v>13959.80549259</v>
      </c>
      <c r="H26" s="27">
        <v>17370.381763089998</v>
      </c>
      <c r="I26" s="27">
        <v>15756.181164050136</v>
      </c>
      <c r="J26" s="27">
        <v>9951.3263318399986</v>
      </c>
      <c r="K26" s="27">
        <v>6928.7716222800009</v>
      </c>
      <c r="L26" s="27">
        <v>9189.5210556999991</v>
      </c>
      <c r="M26" s="27">
        <v>9693.1412275099992</v>
      </c>
      <c r="N26" s="27">
        <v>8092.8678407400012</v>
      </c>
      <c r="O26" s="27">
        <v>10254.357632520001</v>
      </c>
      <c r="P26" s="28">
        <f>SUM(D26:O26)</f>
        <v>134647.07644443016</v>
      </c>
      <c r="Q26" s="27">
        <v>5169.7118419400003</v>
      </c>
      <c r="R26" s="27">
        <v>16289.976667570001</v>
      </c>
      <c r="S26" s="27">
        <v>11241.05620649</v>
      </c>
      <c r="T26" s="27">
        <v>4804.4193341299997</v>
      </c>
      <c r="U26" s="27">
        <v>6478.0124722900009</v>
      </c>
      <c r="V26" s="27">
        <v>5666.8515457199992</v>
      </c>
      <c r="W26" s="27">
        <v>11524.96309698</v>
      </c>
      <c r="X26" s="27">
        <v>4564.0291320300003</v>
      </c>
      <c r="Y26" s="27">
        <v>3736.4502342600003</v>
      </c>
      <c r="Z26" s="27">
        <v>968.56948567000018</v>
      </c>
      <c r="AA26" s="27">
        <v>2946.9633919500002</v>
      </c>
      <c r="AB26" s="27">
        <v>5823.8027180300005</v>
      </c>
      <c r="AC26" s="28">
        <f>SUM(Q26:AB26)</f>
        <v>79214.806127060001</v>
      </c>
      <c r="AD26" s="27">
        <v>2563.0750208500003</v>
      </c>
      <c r="AE26" s="27">
        <v>4444.4561685999997</v>
      </c>
      <c r="AF26" s="27">
        <v>875.14843439000003</v>
      </c>
      <c r="AG26" s="27">
        <v>3213.5198342999997</v>
      </c>
      <c r="AH26" s="27">
        <v>4968.0040598000005</v>
      </c>
      <c r="AI26" s="27">
        <v>16185.67843912</v>
      </c>
      <c r="AJ26" s="27">
        <v>4699.6936612899999</v>
      </c>
      <c r="AK26" s="27">
        <v>12765.713556520001</v>
      </c>
      <c r="AL26" s="27">
        <v>3994.4653216399993</v>
      </c>
      <c r="AM26" s="27">
        <v>1340.3572840700001</v>
      </c>
      <c r="AN26" s="27">
        <v>6504.3897423999997</v>
      </c>
      <c r="AO26" s="27">
        <v>5416.1185523800013</v>
      </c>
      <c r="AP26" s="28">
        <f>SUM(AD26:AO26)</f>
        <v>66970.620075359999</v>
      </c>
      <c r="AQ26" s="27">
        <v>1190.2851354899999</v>
      </c>
      <c r="AR26" s="27">
        <v>5183.0555608100003</v>
      </c>
      <c r="AS26" s="27">
        <v>5578.7342652499992</v>
      </c>
      <c r="AT26" s="27">
        <v>1109.89279248</v>
      </c>
      <c r="AU26" s="27">
        <v>1383.9910540399999</v>
      </c>
      <c r="AV26" s="27">
        <v>1591.72286674</v>
      </c>
      <c r="AW26" s="27">
        <v>1692.8371866699999</v>
      </c>
      <c r="AX26" s="27">
        <v>4192.2240364400004</v>
      </c>
      <c r="AY26" s="27">
        <v>2988.9534142399998</v>
      </c>
      <c r="AZ26" s="27">
        <v>1751.7346265199999</v>
      </c>
      <c r="BA26" s="27">
        <v>1830.5956836399996</v>
      </c>
      <c r="BB26" s="27">
        <v>1289.7109853300001</v>
      </c>
      <c r="BC26" s="28">
        <f>SUM(AQ26:BB26)</f>
        <v>29783.737607649997</v>
      </c>
      <c r="BD26" s="27">
        <v>2378.6238518500004</v>
      </c>
      <c r="BE26" s="27">
        <v>5177.9934894100006</v>
      </c>
      <c r="BF26" s="27">
        <v>6568.0019684100007</v>
      </c>
      <c r="BG26" s="27">
        <v>2505.3118827500002</v>
      </c>
      <c r="BH26" s="27">
        <v>3693.1067228499996</v>
      </c>
      <c r="BI26" s="27">
        <v>3912.1810555299999</v>
      </c>
      <c r="BJ26" s="27">
        <v>3772.3288471599994</v>
      </c>
      <c r="BK26" s="27">
        <v>2992.0107094999998</v>
      </c>
      <c r="BL26" s="27">
        <v>1861.4594815300002</v>
      </c>
      <c r="BM26" s="27">
        <v>4110.9499757800004</v>
      </c>
      <c r="BN26" s="27">
        <v>9960.1643287000006</v>
      </c>
      <c r="BO26" s="27">
        <v>3953.5232923300005</v>
      </c>
      <c r="BP26" s="28">
        <f>SUM(BD26:BO26)</f>
        <v>50885.655605799991</v>
      </c>
      <c r="BQ26" s="27">
        <v>3306.6244320999995</v>
      </c>
      <c r="BR26" s="27">
        <v>5897.2658767000003</v>
      </c>
      <c r="BS26" s="27">
        <v>1639.4838123300001</v>
      </c>
      <c r="BT26" s="27">
        <v>3049.8398683661521</v>
      </c>
      <c r="BU26" s="27">
        <v>3317.6291273099996</v>
      </c>
      <c r="BV26" s="27">
        <v>5407.3952064999994</v>
      </c>
      <c r="BW26" s="27">
        <v>2746.0690384499999</v>
      </c>
      <c r="BX26" s="27">
        <v>14972.868474510004</v>
      </c>
      <c r="BY26" s="27">
        <v>6174.0044446000011</v>
      </c>
      <c r="BZ26" s="27">
        <v>1465.8032572299999</v>
      </c>
      <c r="CA26" s="27">
        <v>6897.7476491099997</v>
      </c>
      <c r="CB26" s="27">
        <v>19148.765562349996</v>
      </c>
      <c r="CC26" s="28">
        <f>SUM(BQ26:CB26)</f>
        <v>74023.496749556158</v>
      </c>
      <c r="CD26" s="27">
        <v>1867.9583968700003</v>
      </c>
      <c r="CE26" s="27">
        <v>1031.7353631800001</v>
      </c>
      <c r="CF26" s="27">
        <v>3770.0657625199997</v>
      </c>
      <c r="CG26" s="27">
        <v>1868.9959230999998</v>
      </c>
      <c r="CH26" s="27">
        <v>6034.0440091600012</v>
      </c>
      <c r="CI26" s="27">
        <v>3929.9980307099995</v>
      </c>
      <c r="CJ26" s="27">
        <v>2663.8314816900001</v>
      </c>
      <c r="CK26" s="27">
        <v>5893.6562821699999</v>
      </c>
      <c r="CL26" s="27">
        <v>1193.5854921700002</v>
      </c>
      <c r="CM26" s="27">
        <v>1135.13793319</v>
      </c>
      <c r="CN26" s="27">
        <v>2371.5495336899999</v>
      </c>
      <c r="CO26" s="27">
        <v>2516.6724242299997</v>
      </c>
      <c r="CP26" s="28">
        <f>+SUM(CD26:CO26)</f>
        <v>34277.230632680003</v>
      </c>
      <c r="CQ26" s="27">
        <v>2502.5339372799999</v>
      </c>
      <c r="CR26" s="27">
        <v>929.6085304799999</v>
      </c>
      <c r="CS26" s="27">
        <v>1216.12678596</v>
      </c>
      <c r="CT26" s="27">
        <v>745.40615337999998</v>
      </c>
      <c r="CU26" s="27">
        <v>982.95520277999992</v>
      </c>
      <c r="CV26" s="27">
        <v>972.61387703999992</v>
      </c>
      <c r="CW26" s="27">
        <v>2496.4519767899997</v>
      </c>
      <c r="CX26" s="27">
        <v>2936.3411111</v>
      </c>
      <c r="CY26" s="27">
        <v>2573.4534848799999</v>
      </c>
      <c r="CZ26" s="27">
        <v>701.77216310000006</v>
      </c>
      <c r="DA26" s="27">
        <v>2023.7895277499997</v>
      </c>
      <c r="DB26" s="27">
        <v>5133.3860194300005</v>
      </c>
      <c r="DC26" s="28">
        <f>+SUM(CQ26:DB26)</f>
        <v>23214.438769969998</v>
      </c>
      <c r="DD26" s="27">
        <v>3757.13350098</v>
      </c>
      <c r="DE26" s="27">
        <v>1029.3116406900001</v>
      </c>
      <c r="DF26" s="27">
        <v>3111.5799436199995</v>
      </c>
      <c r="DG26" s="27">
        <v>329.18078303999994</v>
      </c>
      <c r="DH26" s="27">
        <v>952.67096033000007</v>
      </c>
      <c r="DI26" s="27">
        <v>558.14571158000001</v>
      </c>
      <c r="DJ26" s="27">
        <v>1106.8152851999998</v>
      </c>
      <c r="DK26" s="27">
        <v>1026.79375454</v>
      </c>
      <c r="DL26" s="27">
        <v>0</v>
      </c>
      <c r="DM26" s="27">
        <v>0</v>
      </c>
      <c r="DN26" s="27">
        <v>656.42194829000005</v>
      </c>
      <c r="DO26" s="27">
        <v>2797.3061864699998</v>
      </c>
      <c r="DP26" s="28">
        <f>+SUM(DD26:DO26)</f>
        <v>15325.359714740001</v>
      </c>
      <c r="DQ26" s="27">
        <v>1004.37823923</v>
      </c>
      <c r="DR26" s="27">
        <v>577.53271752000001</v>
      </c>
      <c r="DS26" s="27">
        <v>0</v>
      </c>
      <c r="DT26" s="27">
        <v>61.914360850000001</v>
      </c>
      <c r="DU26" s="27">
        <v>249.99258570000001</v>
      </c>
      <c r="DV26" s="27">
        <v>408.57819390999998</v>
      </c>
      <c r="DW26" s="27">
        <v>666.65473266000004</v>
      </c>
      <c r="DX26" s="27">
        <v>0</v>
      </c>
      <c r="DY26" s="27">
        <v>150.5056663</v>
      </c>
      <c r="DZ26" s="27">
        <v>75.609581180000006</v>
      </c>
      <c r="EA26" s="27">
        <v>751.93825278999998</v>
      </c>
      <c r="EB26" s="27">
        <v>117.93701328</v>
      </c>
      <c r="EC26" s="28">
        <f>+SUM(DQ26:EB26)</f>
        <v>4065.0413434200004</v>
      </c>
      <c r="ED26" s="27">
        <v>0</v>
      </c>
      <c r="EE26" s="27">
        <v>1802.4931754799998</v>
      </c>
      <c r="EF26" s="27">
        <v>0</v>
      </c>
      <c r="EG26" s="27">
        <v>0</v>
      </c>
      <c r="EH26" s="27">
        <v>963.05951170000003</v>
      </c>
      <c r="EI26" s="27">
        <v>0</v>
      </c>
      <c r="EJ26" s="27">
        <v>0</v>
      </c>
      <c r="EK26" s="27">
        <v>510.85336087000002</v>
      </c>
      <c r="EL26" s="27">
        <v>0</v>
      </c>
      <c r="EM26" s="27">
        <v>0</v>
      </c>
      <c r="EN26" s="27">
        <v>581.81596711999998</v>
      </c>
      <c r="EO26" s="27">
        <v>0</v>
      </c>
      <c r="EP26" s="28">
        <f>+SUM(ED26:EO26)</f>
        <v>3858.2220151699998</v>
      </c>
      <c r="EQ26" s="27">
        <v>0</v>
      </c>
      <c r="ER26" s="27">
        <v>225.71760692000001</v>
      </c>
      <c r="ES26" s="27">
        <v>0</v>
      </c>
      <c r="ET26" s="27">
        <v>0</v>
      </c>
      <c r="EU26" s="27">
        <v>719.22235173000001</v>
      </c>
      <c r="EV26" s="27">
        <v>0</v>
      </c>
      <c r="EW26" s="27">
        <v>0</v>
      </c>
      <c r="EX26" s="27">
        <v>32.150937560000003</v>
      </c>
      <c r="EY26" s="27">
        <v>0</v>
      </c>
      <c r="EZ26" s="27">
        <v>0</v>
      </c>
      <c r="FA26" s="27">
        <v>1505.75049921</v>
      </c>
      <c r="FB26" s="27">
        <v>0</v>
      </c>
      <c r="FC26" s="28">
        <f>+SUM(EQ26:FB26)</f>
        <v>2482.84139542</v>
      </c>
      <c r="FD26" s="27">
        <v>0</v>
      </c>
      <c r="FE26" s="27">
        <v>853.47166922999997</v>
      </c>
      <c r="FF26" s="27">
        <v>0</v>
      </c>
      <c r="FG26" s="27">
        <v>0</v>
      </c>
      <c r="FH26" s="27">
        <v>1894.3090506599999</v>
      </c>
      <c r="FI26" s="27">
        <v>0</v>
      </c>
      <c r="FJ26" s="27">
        <v>0</v>
      </c>
      <c r="FK26" s="27">
        <v>0</v>
      </c>
      <c r="FL26" s="27">
        <v>1510.11646236</v>
      </c>
      <c r="FM26" s="27">
        <v>0</v>
      </c>
      <c r="FN26" s="27">
        <v>0</v>
      </c>
      <c r="FO26" s="27">
        <v>0</v>
      </c>
      <c r="FP26" s="28">
        <f>+SUM(FD26:FO26)</f>
        <v>4257.8971822499998</v>
      </c>
      <c r="FQ26" s="27">
        <v>0</v>
      </c>
      <c r="FR26" s="27">
        <v>1175.3784646000001</v>
      </c>
      <c r="FS26" s="27">
        <v>0</v>
      </c>
      <c r="FT26" s="27">
        <v>0</v>
      </c>
      <c r="FU26" s="27">
        <v>0</v>
      </c>
      <c r="FV26" s="27">
        <v>0</v>
      </c>
      <c r="FW26" s="27">
        <v>830.68009015999996</v>
      </c>
      <c r="FX26" s="27">
        <v>0</v>
      </c>
      <c r="FY26" s="27">
        <v>0</v>
      </c>
      <c r="FZ26" s="27">
        <v>0</v>
      </c>
      <c r="GA26" s="27">
        <v>2002.0593323999999</v>
      </c>
      <c r="GB26" s="27">
        <v>0</v>
      </c>
      <c r="GC26" s="28">
        <f>+SUM(FQ26:GB26)</f>
        <v>4008.11788716</v>
      </c>
      <c r="GD26" s="27">
        <v>0</v>
      </c>
      <c r="GE26" s="27">
        <v>46366.036735820002</v>
      </c>
      <c r="GF26" s="27">
        <v>21882.704457939999</v>
      </c>
      <c r="GG26" s="27">
        <v>0</v>
      </c>
      <c r="GH26" s="27">
        <v>0</v>
      </c>
      <c r="GI26" s="27">
        <v>0</v>
      </c>
      <c r="GJ26" s="27">
        <v>0</v>
      </c>
      <c r="GK26" s="27">
        <v>0</v>
      </c>
      <c r="GL26" s="27">
        <v>0</v>
      </c>
      <c r="GM26" s="27">
        <v>0</v>
      </c>
      <c r="GN26" s="27">
        <v>0</v>
      </c>
      <c r="GO26" s="27">
        <v>0</v>
      </c>
      <c r="GP26" s="28">
        <f>+SUM(GD26:GO26)</f>
        <v>68248.741193759997</v>
      </c>
      <c r="GQ26" s="27">
        <v>0</v>
      </c>
      <c r="GR26" s="27">
        <v>0</v>
      </c>
      <c r="GS26" s="27">
        <v>0</v>
      </c>
      <c r="GT26" s="27">
        <v>0</v>
      </c>
      <c r="GU26" s="27">
        <v>0</v>
      </c>
      <c r="GV26" s="27">
        <v>0</v>
      </c>
      <c r="GW26" s="27">
        <v>0</v>
      </c>
      <c r="GX26" s="27">
        <v>0</v>
      </c>
      <c r="GY26" s="27">
        <v>0</v>
      </c>
      <c r="GZ26" s="27">
        <v>0</v>
      </c>
      <c r="HA26" s="27">
        <v>0</v>
      </c>
      <c r="HB26" s="27">
        <v>0</v>
      </c>
      <c r="HC26" s="28">
        <f>+SUM(GQ26:HB26)</f>
        <v>0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8">
        <f>+SUM(HD26:HO26)</f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8">
        <f>+SUM(HQ26:IB26)</f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0</v>
      </c>
      <c r="II26" s="27">
        <v>0</v>
      </c>
      <c r="IJ26" s="27">
        <v>0</v>
      </c>
      <c r="IK26" s="27">
        <v>0</v>
      </c>
      <c r="IL26" s="27">
        <v>0</v>
      </c>
      <c r="IM26" s="27">
        <v>0</v>
      </c>
      <c r="IN26" s="27">
        <v>0</v>
      </c>
      <c r="IO26" s="27">
        <v>0</v>
      </c>
      <c r="IP26" s="28">
        <f>+SUM(ID26:IO26)</f>
        <v>0</v>
      </c>
      <c r="IQ26" s="27">
        <v>0</v>
      </c>
      <c r="IR26" s="27">
        <v>0</v>
      </c>
      <c r="IS26" s="27">
        <v>0</v>
      </c>
      <c r="IT26" s="27">
        <v>0</v>
      </c>
      <c r="IU26" s="27">
        <v>0</v>
      </c>
      <c r="IV26" s="27">
        <v>0</v>
      </c>
      <c r="IW26" s="27">
        <v>0</v>
      </c>
      <c r="IX26" s="27">
        <v>0</v>
      </c>
      <c r="IY26" s="28">
        <f>+SUM(IQ26:IX26)</f>
        <v>0</v>
      </c>
    </row>
    <row r="27" spans="1:259" s="11" customFormat="1" ht="20.100000000000001" customHeight="1" x14ac:dyDescent="0.25">
      <c r="A27" s="20" t="s">
        <v>15</v>
      </c>
      <c r="B27" s="27">
        <v>24.863118669999992</v>
      </c>
      <c r="C27" s="27">
        <v>18.832416569999999</v>
      </c>
      <c r="D27" s="27">
        <v>144.82903425999999</v>
      </c>
      <c r="E27" s="27">
        <v>14.966367869999999</v>
      </c>
      <c r="F27" s="27">
        <v>25.881019569999999</v>
      </c>
      <c r="G27" s="27">
        <v>65.67485739</v>
      </c>
      <c r="H27" s="27">
        <v>59.084998840000019</v>
      </c>
      <c r="I27" s="27">
        <v>24.464902739999999</v>
      </c>
      <c r="J27" s="27">
        <v>100.1958324</v>
      </c>
      <c r="K27" s="27">
        <v>47.105462739999993</v>
      </c>
      <c r="L27" s="27">
        <v>21.986406579999997</v>
      </c>
      <c r="M27" s="27">
        <v>64.849648639999984</v>
      </c>
      <c r="N27" s="27">
        <v>40.158108020000014</v>
      </c>
      <c r="O27" s="27">
        <v>18.887938779999999</v>
      </c>
      <c r="P27" s="28">
        <f>SUM(D27:O27)</f>
        <v>628.08457782999994</v>
      </c>
      <c r="Q27" s="27">
        <v>154.68182060999996</v>
      </c>
      <c r="R27" s="27">
        <v>22.684800389999992</v>
      </c>
      <c r="S27" s="27">
        <v>20.095832049999999</v>
      </c>
      <c r="T27" s="27">
        <v>78.044560240000024</v>
      </c>
      <c r="U27" s="27">
        <v>40.299865169999997</v>
      </c>
      <c r="V27" s="27">
        <v>69.494978529999983</v>
      </c>
      <c r="W27" s="27">
        <v>119.21330647000002</v>
      </c>
      <c r="X27" s="27">
        <v>82.781023810000036</v>
      </c>
      <c r="Y27" s="27">
        <v>36.87859667</v>
      </c>
      <c r="Z27" s="27">
        <v>76.597750050000002</v>
      </c>
      <c r="AA27" s="27">
        <v>32.059693170000003</v>
      </c>
      <c r="AB27" s="27">
        <v>29.496829589999997</v>
      </c>
      <c r="AC27" s="28">
        <f>SUM(Q27:AB27)</f>
        <v>762.32905674999995</v>
      </c>
      <c r="AD27" s="27">
        <v>175.06907243000006</v>
      </c>
      <c r="AE27" s="27">
        <v>37.266971660000003</v>
      </c>
      <c r="AF27" s="27">
        <v>131.55379811999998</v>
      </c>
      <c r="AG27" s="27">
        <v>63.292385559999992</v>
      </c>
      <c r="AH27" s="27">
        <v>110.23362567999999</v>
      </c>
      <c r="AI27" s="27">
        <v>42.943256509999998</v>
      </c>
      <c r="AJ27" s="27">
        <v>174.32671302999995</v>
      </c>
      <c r="AK27" s="27">
        <v>54.184275229999983</v>
      </c>
      <c r="AL27" s="27">
        <v>44.416953289999995</v>
      </c>
      <c r="AM27" s="27">
        <v>175.05875819000005</v>
      </c>
      <c r="AN27" s="27">
        <v>45.009973249999987</v>
      </c>
      <c r="AO27" s="27">
        <v>39.351418369999998</v>
      </c>
      <c r="AP27" s="28">
        <f>SUM(AD27:AO27)</f>
        <v>1092.70720132</v>
      </c>
      <c r="AQ27" s="27">
        <v>269.65420659</v>
      </c>
      <c r="AR27" s="27">
        <v>43.635630820000003</v>
      </c>
      <c r="AS27" s="27">
        <v>121.28108149000005</v>
      </c>
      <c r="AT27" s="27">
        <v>46.722876490000004</v>
      </c>
      <c r="AU27" s="27">
        <v>69.738788580000019</v>
      </c>
      <c r="AV27" s="27">
        <v>34.648038630000002</v>
      </c>
      <c r="AW27" s="27">
        <v>298.10129732000007</v>
      </c>
      <c r="AX27" s="27">
        <v>233.99656717000005</v>
      </c>
      <c r="AY27" s="27">
        <v>65.427784060000008</v>
      </c>
      <c r="AZ27" s="27">
        <v>40.485383259999999</v>
      </c>
      <c r="BA27" s="27">
        <v>53.328748610000019</v>
      </c>
      <c r="BB27" s="27">
        <v>50.326065220000004</v>
      </c>
      <c r="BC27" s="28">
        <f>SUM(AQ27:BB27)</f>
        <v>1327.3464682399999</v>
      </c>
      <c r="BD27" s="27">
        <v>290.18914941999969</v>
      </c>
      <c r="BE27" s="27">
        <v>66.425985400000002</v>
      </c>
      <c r="BF27" s="27">
        <v>111.11333614</v>
      </c>
      <c r="BG27" s="27">
        <v>54.176560989999999</v>
      </c>
      <c r="BH27" s="27">
        <v>212.44817755000003</v>
      </c>
      <c r="BI27" s="27">
        <v>68.200698420000009</v>
      </c>
      <c r="BJ27" s="27">
        <v>159.13282687999995</v>
      </c>
      <c r="BK27" s="27">
        <v>121.63908838</v>
      </c>
      <c r="BL27" s="27">
        <v>114.35475916000001</v>
      </c>
      <c r="BM27" s="27">
        <v>71.258811100000003</v>
      </c>
      <c r="BN27" s="27">
        <v>84.11639894999999</v>
      </c>
      <c r="BO27" s="27">
        <v>85.389837959999994</v>
      </c>
      <c r="BP27" s="28">
        <f>SUM(BD27:BO27)</f>
        <v>1438.4456303499999</v>
      </c>
      <c r="BQ27" s="27">
        <v>646.68460302999995</v>
      </c>
      <c r="BR27" s="27">
        <v>98.916168280000022</v>
      </c>
      <c r="BS27" s="27">
        <v>370.97377394999995</v>
      </c>
      <c r="BT27" s="27">
        <v>89.893178460000001</v>
      </c>
      <c r="BU27" s="27">
        <v>204.65595210999999</v>
      </c>
      <c r="BV27" s="27">
        <v>110.81849074</v>
      </c>
      <c r="BW27" s="27">
        <v>152.38815721999995</v>
      </c>
      <c r="BX27" s="27">
        <v>474.98717983999984</v>
      </c>
      <c r="BY27" s="27">
        <v>106.43322315</v>
      </c>
      <c r="BZ27" s="27">
        <v>113.79637121</v>
      </c>
      <c r="CA27" s="27">
        <v>191.68637421000005</v>
      </c>
      <c r="CB27" s="27">
        <v>96.090218780000001</v>
      </c>
      <c r="CC27" s="28">
        <f>SUM(BQ27:CB27)</f>
        <v>2657.3236909800003</v>
      </c>
      <c r="CD27" s="27">
        <v>1027.9365618400006</v>
      </c>
      <c r="CE27" s="27">
        <v>253.72084440999998</v>
      </c>
      <c r="CF27" s="27">
        <v>291.61307768000006</v>
      </c>
      <c r="CG27" s="27">
        <v>160.69704188</v>
      </c>
      <c r="CH27" s="27">
        <v>200.34162561000008</v>
      </c>
      <c r="CI27" s="27">
        <v>234.32785328999995</v>
      </c>
      <c r="CJ27" s="27">
        <v>182.98306794999996</v>
      </c>
      <c r="CK27" s="27">
        <v>162.24127625</v>
      </c>
      <c r="CL27" s="27">
        <v>108.86953360000001</v>
      </c>
      <c r="CM27" s="27">
        <v>128.84505422999999</v>
      </c>
      <c r="CN27" s="27">
        <v>159.57536832999998</v>
      </c>
      <c r="CO27" s="27">
        <v>110.90982210000001</v>
      </c>
      <c r="CP27" s="28">
        <f>+SUM(CD27:CO27)</f>
        <v>3022.0611271700009</v>
      </c>
      <c r="CQ27" s="27">
        <v>622.9798646600002</v>
      </c>
      <c r="CR27" s="27">
        <v>142.59141093999995</v>
      </c>
      <c r="CS27" s="27">
        <v>170.62233047999999</v>
      </c>
      <c r="CT27" s="27">
        <v>84.449990079999992</v>
      </c>
      <c r="CU27" s="27">
        <v>162.29175350000003</v>
      </c>
      <c r="CV27" s="27">
        <v>92.568305170000002</v>
      </c>
      <c r="CW27" s="27">
        <v>196.95736784999997</v>
      </c>
      <c r="CX27" s="27">
        <v>223.74054550999992</v>
      </c>
      <c r="CY27" s="27">
        <v>179.02964638</v>
      </c>
      <c r="CZ27" s="27">
        <v>237.97459151000001</v>
      </c>
      <c r="DA27" s="27">
        <v>216.17454217999995</v>
      </c>
      <c r="DB27" s="27">
        <v>133.90465531999999</v>
      </c>
      <c r="DC27" s="28">
        <f>+SUM(CQ27:DB27)</f>
        <v>2463.2850035800002</v>
      </c>
      <c r="DD27" s="27">
        <v>736.70384417000048</v>
      </c>
      <c r="DE27" s="27">
        <v>178.04920723000004</v>
      </c>
      <c r="DF27" s="27">
        <v>457.03460400000012</v>
      </c>
      <c r="DG27" s="27">
        <v>171.78846483000001</v>
      </c>
      <c r="DH27" s="27">
        <v>2988.8576177099994</v>
      </c>
      <c r="DI27" s="27">
        <v>179.76229268999998</v>
      </c>
      <c r="DJ27" s="27">
        <v>289.42111581999995</v>
      </c>
      <c r="DK27" s="27">
        <v>390.40814275000008</v>
      </c>
      <c r="DL27" s="27">
        <v>403.63479648999999</v>
      </c>
      <c r="DM27" s="27">
        <v>278.16277406</v>
      </c>
      <c r="DN27" s="27">
        <v>323.50195885000005</v>
      </c>
      <c r="DO27" s="27">
        <v>318.35648988999998</v>
      </c>
      <c r="DP27" s="28">
        <f>+SUM(DD27:DO27)</f>
        <v>6715.6813084900004</v>
      </c>
      <c r="DQ27" s="27">
        <v>1058.79290317</v>
      </c>
      <c r="DR27" s="27">
        <v>446.65947829999999</v>
      </c>
      <c r="DS27" s="27">
        <v>747.98631952000005</v>
      </c>
      <c r="DT27" s="27">
        <v>504.19537658000002</v>
      </c>
      <c r="DU27" s="27">
        <v>638.21534107999992</v>
      </c>
      <c r="DV27" s="27">
        <v>524.75679342000001</v>
      </c>
      <c r="DW27" s="27">
        <v>554.55931744000009</v>
      </c>
      <c r="DX27" s="27">
        <v>632.8848526700001</v>
      </c>
      <c r="DY27" s="27">
        <v>514.30870612000001</v>
      </c>
      <c r="DZ27" s="27">
        <v>662.15387295000005</v>
      </c>
      <c r="EA27" s="27">
        <v>715.15363068999989</v>
      </c>
      <c r="EB27" s="27">
        <v>616.33632955999997</v>
      </c>
      <c r="EC27" s="28">
        <f>+SUM(DQ27:EB27)</f>
        <v>7616.0029215000013</v>
      </c>
      <c r="ED27" s="27">
        <v>2206.1190587499996</v>
      </c>
      <c r="EE27" s="27">
        <v>900.6395606100001</v>
      </c>
      <c r="EF27" s="27">
        <v>2382.9732265799998</v>
      </c>
      <c r="EG27" s="27">
        <v>871.39413577999994</v>
      </c>
      <c r="EH27" s="27">
        <v>1237.1149754000003</v>
      </c>
      <c r="EI27" s="27">
        <v>707.20185785000012</v>
      </c>
      <c r="EJ27" s="27">
        <v>1060.48920413</v>
      </c>
      <c r="EK27" s="27">
        <v>1408.24589868</v>
      </c>
      <c r="EL27" s="27">
        <v>1845.2375325900002</v>
      </c>
      <c r="EM27" s="27">
        <v>1521.5481708299999</v>
      </c>
      <c r="EN27" s="27">
        <v>1218.9021572299998</v>
      </c>
      <c r="EO27" s="27">
        <v>1141.4840195899999</v>
      </c>
      <c r="EP27" s="28">
        <f>+SUM(ED27:EO27)</f>
        <v>16501.349798020001</v>
      </c>
      <c r="EQ27" s="27">
        <v>3429.4527599200001</v>
      </c>
      <c r="ER27" s="27">
        <v>1464.70377723</v>
      </c>
      <c r="ES27" s="27">
        <v>1225.0149567299998</v>
      </c>
      <c r="ET27" s="27">
        <v>1064.34971692</v>
      </c>
      <c r="EU27" s="27">
        <v>1353.7523964600002</v>
      </c>
      <c r="EV27" s="27">
        <v>1160.9753879</v>
      </c>
      <c r="EW27" s="27">
        <v>915.85688264000009</v>
      </c>
      <c r="EX27" s="27">
        <v>1139.5876699099999</v>
      </c>
      <c r="EY27" s="27">
        <v>921.92210088000002</v>
      </c>
      <c r="EZ27" s="27">
        <v>1805.1052095400003</v>
      </c>
      <c r="FA27" s="27">
        <v>1268.0043636199998</v>
      </c>
      <c r="FB27" s="27">
        <v>1092.26693413</v>
      </c>
      <c r="FC27" s="28">
        <f>+SUM(EQ27:FB27)</f>
        <v>16840.992155880002</v>
      </c>
      <c r="FD27" s="27">
        <v>2547.6718364700005</v>
      </c>
      <c r="FE27" s="27">
        <v>1589.83959218</v>
      </c>
      <c r="FF27" s="27">
        <v>1349.9367999299998</v>
      </c>
      <c r="FG27" s="27">
        <v>1427.42431078</v>
      </c>
      <c r="FH27" s="27">
        <v>10063.89482727</v>
      </c>
      <c r="FI27" s="27">
        <v>1683.2242168600001</v>
      </c>
      <c r="FJ27" s="27">
        <v>2216.00212362</v>
      </c>
      <c r="FK27" s="27">
        <v>2101.4988409000002</v>
      </c>
      <c r="FL27" s="27">
        <v>1620.7625387899998</v>
      </c>
      <c r="FM27" s="27">
        <v>1943.1245262300001</v>
      </c>
      <c r="FN27" s="27">
        <v>2393.8940351199999</v>
      </c>
      <c r="FO27" s="27">
        <v>1978.6217615199998</v>
      </c>
      <c r="FP27" s="28">
        <f>+SUM(FD27:FO27)</f>
        <v>30915.89540967</v>
      </c>
      <c r="FQ27" s="27">
        <v>3004.9743966400001</v>
      </c>
      <c r="FR27" s="27">
        <v>2354.2695956699999</v>
      </c>
      <c r="FS27" s="27">
        <v>3799.6241350499999</v>
      </c>
      <c r="FT27" s="27">
        <v>1397.0733839300001</v>
      </c>
      <c r="FU27" s="27">
        <v>1365.42839738</v>
      </c>
      <c r="FV27" s="27">
        <v>1721.8452535400002</v>
      </c>
      <c r="FW27" s="27">
        <v>2196.6909559699998</v>
      </c>
      <c r="FX27" s="27">
        <v>3361.0332748499995</v>
      </c>
      <c r="FY27" s="27">
        <v>2024.1226378899996</v>
      </c>
      <c r="FZ27" s="27">
        <v>2008.37063511</v>
      </c>
      <c r="GA27" s="27">
        <v>1518.4502050999999</v>
      </c>
      <c r="GB27" s="27">
        <v>1952.1778881899997</v>
      </c>
      <c r="GC27" s="28">
        <f>+SUM(FQ27:GB27)</f>
        <v>26704.06075932</v>
      </c>
      <c r="GD27" s="27">
        <v>3027.4266162900003</v>
      </c>
      <c r="GE27" s="27">
        <v>1822.7827521899999</v>
      </c>
      <c r="GF27" s="27">
        <v>4100.7178182999996</v>
      </c>
      <c r="GG27" s="27">
        <v>1557.9184065099998</v>
      </c>
      <c r="GH27" s="27">
        <v>1525.6133441599998</v>
      </c>
      <c r="GI27" s="27">
        <v>1534.82029238</v>
      </c>
      <c r="GJ27" s="27">
        <v>1526.0979588099999</v>
      </c>
      <c r="GK27" s="27">
        <v>2023.7067739200002</v>
      </c>
      <c r="GL27" s="27">
        <v>1644.35751555</v>
      </c>
      <c r="GM27" s="27">
        <v>1590.0011448800001</v>
      </c>
      <c r="GN27" s="27">
        <v>1687.01910146</v>
      </c>
      <c r="GO27" s="27">
        <v>1502.6135567199999</v>
      </c>
      <c r="GP27" s="28">
        <f>+SUM(GD27:GO27)</f>
        <v>23543.075281169997</v>
      </c>
      <c r="GQ27" s="27">
        <v>2477.0892297199998</v>
      </c>
      <c r="GR27" s="27">
        <v>1666.6114680599999</v>
      </c>
      <c r="GS27" s="27">
        <v>2022.9109376399999</v>
      </c>
      <c r="GT27" s="27">
        <v>1651.10031523</v>
      </c>
      <c r="GU27" s="27">
        <v>2142.7988243599998</v>
      </c>
      <c r="GV27" s="27">
        <v>2134.5201966999998</v>
      </c>
      <c r="GW27" s="27">
        <v>2265.1633972599998</v>
      </c>
      <c r="GX27" s="27">
        <v>2434.6340171100001</v>
      </c>
      <c r="GY27" s="27">
        <v>2003.9220256699998</v>
      </c>
      <c r="GZ27" s="27">
        <v>2026.9427433799999</v>
      </c>
      <c r="HA27" s="27">
        <v>2785.9504240400001</v>
      </c>
      <c r="HB27" s="27">
        <v>2377.77179381</v>
      </c>
      <c r="HC27" s="28">
        <f>+SUM(GQ27:HB27)</f>
        <v>25989.415372979998</v>
      </c>
      <c r="HD27" s="27">
        <v>4816.2378460499995</v>
      </c>
      <c r="HE27" s="27">
        <v>2164.4522952699999</v>
      </c>
      <c r="HF27" s="27">
        <v>5781.0121387299996</v>
      </c>
      <c r="HG27" s="27">
        <v>2006.3237941000002</v>
      </c>
      <c r="HH27" s="27">
        <v>2556.74433318</v>
      </c>
      <c r="HI27" s="27">
        <v>2635.6326910099997</v>
      </c>
      <c r="HJ27" s="27">
        <v>2590.2703034599995</v>
      </c>
      <c r="HK27" s="27">
        <v>3051.2680997100001</v>
      </c>
      <c r="HL27" s="27">
        <v>2440.0406560199999</v>
      </c>
      <c r="HM27" s="27">
        <v>2666.3031252700002</v>
      </c>
      <c r="HN27" s="27">
        <v>2601.6056846199999</v>
      </c>
      <c r="HO27" s="27">
        <v>2380.51479337</v>
      </c>
      <c r="HP27" s="28">
        <f>+SUM(HD27:HO27)</f>
        <v>35690.405760789996</v>
      </c>
      <c r="HQ27" s="27">
        <v>2942.1558384999998</v>
      </c>
      <c r="HR27" s="27">
        <v>2822.9661227899996</v>
      </c>
      <c r="HS27" s="27">
        <v>2872.9484732400001</v>
      </c>
      <c r="HT27" s="27">
        <v>3512.7412271600001</v>
      </c>
      <c r="HU27" s="27">
        <v>3177.58639657</v>
      </c>
      <c r="HV27" s="27">
        <v>3270.1650199999999</v>
      </c>
      <c r="HW27" s="27">
        <v>5426.4999896799991</v>
      </c>
      <c r="HX27" s="27">
        <v>12954.399160430001</v>
      </c>
      <c r="HY27" s="27">
        <v>6188.2930032599998</v>
      </c>
      <c r="HZ27" s="27">
        <v>3119.7730424900001</v>
      </c>
      <c r="IA27" s="27">
        <v>3301.9537834799999</v>
      </c>
      <c r="IB27" s="27">
        <v>3804.6545680599993</v>
      </c>
      <c r="IC27" s="28">
        <f>+SUM(HQ27:IB27)</f>
        <v>53394.136625660001</v>
      </c>
      <c r="ID27" s="27">
        <v>7180.4743478100008</v>
      </c>
      <c r="IE27" s="27">
        <v>3218.13107623</v>
      </c>
      <c r="IF27" s="27">
        <v>12432.450926359999</v>
      </c>
      <c r="IG27" s="27">
        <v>2865.7074626000003</v>
      </c>
      <c r="IH27" s="27">
        <v>3234.3055054299998</v>
      </c>
      <c r="II27" s="27">
        <v>2922.1622242399999</v>
      </c>
      <c r="IJ27" s="27">
        <v>3586.1312380200002</v>
      </c>
      <c r="IK27" s="27">
        <v>3454.8616708</v>
      </c>
      <c r="IL27" s="27">
        <v>3341.7489727399998</v>
      </c>
      <c r="IM27" s="27">
        <v>3462.7204077600004</v>
      </c>
      <c r="IN27" s="27">
        <v>3367.3994246900002</v>
      </c>
      <c r="IO27" s="27">
        <v>3525.7287377400003</v>
      </c>
      <c r="IP27" s="28">
        <f>+SUM(ID27:IO27)</f>
        <v>52591.821994420003</v>
      </c>
      <c r="IQ27" s="27">
        <v>7142.4790194300003</v>
      </c>
      <c r="IR27" s="27">
        <v>3598.0154295800003</v>
      </c>
      <c r="IS27" s="27">
        <v>11009.752461690001</v>
      </c>
      <c r="IT27" s="27">
        <v>3393.0882724499997</v>
      </c>
      <c r="IU27" s="27">
        <v>4151.7164375499997</v>
      </c>
      <c r="IV27" s="27">
        <v>4663.0908740399991</v>
      </c>
      <c r="IW27" s="27">
        <v>4293.2439554900002</v>
      </c>
      <c r="IX27" s="27">
        <v>17216.420889269997</v>
      </c>
      <c r="IY27" s="28">
        <f>+SUM(IQ27:IX27)</f>
        <v>55467.807339499996</v>
      </c>
    </row>
    <row r="28" spans="1:259" s="11" customFormat="1" ht="20.100000000000001" customHeight="1" x14ac:dyDescent="0.25">
      <c r="A28" s="20" t="s">
        <v>14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8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8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8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8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8"/>
      <c r="CD28" s="27">
        <v>0</v>
      </c>
      <c r="CE28" s="27">
        <v>0</v>
      </c>
      <c r="CF28" s="27">
        <v>0</v>
      </c>
      <c r="CG28" s="27">
        <v>0</v>
      </c>
      <c r="CH28" s="27">
        <v>0</v>
      </c>
      <c r="CI28" s="27">
        <v>0</v>
      </c>
      <c r="CJ28" s="27">
        <v>0</v>
      </c>
      <c r="CK28" s="27">
        <v>0</v>
      </c>
      <c r="CL28" s="27">
        <v>0</v>
      </c>
      <c r="CM28" s="27">
        <v>0</v>
      </c>
      <c r="CN28" s="27">
        <v>0</v>
      </c>
      <c r="CO28" s="27">
        <v>0</v>
      </c>
      <c r="CP28" s="28">
        <f>+SUM(CD28:CO28)</f>
        <v>0</v>
      </c>
      <c r="CQ28" s="27">
        <v>0</v>
      </c>
      <c r="CR28" s="27">
        <v>1999.9978376199999</v>
      </c>
      <c r="CS28" s="27">
        <v>0</v>
      </c>
      <c r="CT28" s="27">
        <v>0</v>
      </c>
      <c r="CU28" s="27">
        <v>0</v>
      </c>
      <c r="CV28" s="27">
        <v>0</v>
      </c>
      <c r="CW28" s="27">
        <v>0</v>
      </c>
      <c r="CX28" s="27">
        <v>5138.8671690500005</v>
      </c>
      <c r="CY28" s="27">
        <v>0</v>
      </c>
      <c r="CZ28" s="27">
        <v>0</v>
      </c>
      <c r="DA28" s="27">
        <v>0</v>
      </c>
      <c r="DB28" s="27">
        <v>0</v>
      </c>
      <c r="DC28" s="28">
        <f>+SUM(CQ28:DB28)</f>
        <v>7138.8650066700002</v>
      </c>
      <c r="DD28" s="27">
        <v>0</v>
      </c>
      <c r="DE28" s="27">
        <v>0</v>
      </c>
      <c r="DF28" s="27">
        <v>0</v>
      </c>
      <c r="DG28" s="27">
        <v>0</v>
      </c>
      <c r="DH28" s="27">
        <v>0</v>
      </c>
      <c r="DI28" s="27">
        <v>0</v>
      </c>
      <c r="DJ28" s="27">
        <v>0</v>
      </c>
      <c r="DK28" s="27">
        <v>0</v>
      </c>
      <c r="DL28" s="27">
        <v>0</v>
      </c>
      <c r="DM28" s="27">
        <v>0</v>
      </c>
      <c r="DN28" s="27">
        <v>0</v>
      </c>
      <c r="DO28" s="27">
        <v>0</v>
      </c>
      <c r="DP28" s="28">
        <f>+SUM(DD28:DO28)</f>
        <v>0</v>
      </c>
      <c r="DQ28" s="27">
        <v>0</v>
      </c>
      <c r="DR28" s="27">
        <v>0</v>
      </c>
      <c r="DS28" s="27">
        <v>0</v>
      </c>
      <c r="DT28" s="27">
        <v>0</v>
      </c>
      <c r="DU28" s="27">
        <v>0</v>
      </c>
      <c r="DV28" s="27">
        <v>0</v>
      </c>
      <c r="DW28" s="27">
        <v>0</v>
      </c>
      <c r="DX28" s="27">
        <v>0</v>
      </c>
      <c r="DY28" s="27">
        <v>0</v>
      </c>
      <c r="DZ28" s="27">
        <v>0</v>
      </c>
      <c r="EA28" s="27">
        <v>0</v>
      </c>
      <c r="EB28" s="27">
        <v>0</v>
      </c>
      <c r="EC28" s="28">
        <f>+SUM(DQ28:EB28)</f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0</v>
      </c>
      <c r="EI28" s="27">
        <v>0.22799807</v>
      </c>
      <c r="EJ28" s="27">
        <v>0</v>
      </c>
      <c r="EK28" s="27">
        <v>0</v>
      </c>
      <c r="EL28" s="27">
        <v>0</v>
      </c>
      <c r="EM28" s="27">
        <v>0</v>
      </c>
      <c r="EN28" s="27">
        <v>0</v>
      </c>
      <c r="EO28" s="27">
        <v>0</v>
      </c>
      <c r="EP28" s="28">
        <f>+SUM(ED28:EO28)</f>
        <v>0.22799807</v>
      </c>
      <c r="EQ28" s="27">
        <v>0</v>
      </c>
      <c r="ER28" s="27">
        <v>0</v>
      </c>
      <c r="ES28" s="27">
        <v>0</v>
      </c>
      <c r="ET28" s="27">
        <v>0</v>
      </c>
      <c r="EU28" s="27">
        <v>0</v>
      </c>
      <c r="EV28" s="27">
        <v>0</v>
      </c>
      <c r="EW28" s="27">
        <v>0</v>
      </c>
      <c r="EX28" s="27">
        <v>0</v>
      </c>
      <c r="EY28" s="27">
        <v>0</v>
      </c>
      <c r="EZ28" s="27">
        <v>0</v>
      </c>
      <c r="FA28" s="27">
        <v>0</v>
      </c>
      <c r="FB28" s="27">
        <v>0</v>
      </c>
      <c r="FC28" s="28">
        <f>+SUM(EQ28:FB28)</f>
        <v>0</v>
      </c>
      <c r="FD28" s="27">
        <v>0</v>
      </c>
      <c r="FE28" s="27">
        <v>0</v>
      </c>
      <c r="FF28" s="27">
        <v>0</v>
      </c>
      <c r="FG28" s="27">
        <v>0</v>
      </c>
      <c r="FH28" s="27">
        <v>0</v>
      </c>
      <c r="FI28" s="27">
        <v>0</v>
      </c>
      <c r="FJ28" s="27">
        <v>0</v>
      </c>
      <c r="FK28" s="27">
        <v>0</v>
      </c>
      <c r="FL28" s="27">
        <v>2999.9955481000002</v>
      </c>
      <c r="FM28" s="27">
        <v>0</v>
      </c>
      <c r="FN28" s="27">
        <v>0</v>
      </c>
      <c r="FO28" s="27">
        <v>0</v>
      </c>
      <c r="FP28" s="28">
        <f>+SUM(FD28:FO28)</f>
        <v>2999.9955481000002</v>
      </c>
      <c r="FQ28" s="27">
        <v>0</v>
      </c>
      <c r="FR28" s="27">
        <v>0</v>
      </c>
      <c r="FS28" s="27">
        <v>0</v>
      </c>
      <c r="FT28" s="27">
        <v>0</v>
      </c>
      <c r="FU28" s="27">
        <v>0</v>
      </c>
      <c r="FV28" s="27">
        <v>0</v>
      </c>
      <c r="FW28" s="27">
        <v>0</v>
      </c>
      <c r="FX28" s="27">
        <v>0</v>
      </c>
      <c r="FY28" s="27">
        <v>0</v>
      </c>
      <c r="FZ28" s="27">
        <v>0</v>
      </c>
      <c r="GA28" s="27">
        <v>0</v>
      </c>
      <c r="GB28" s="27">
        <v>0</v>
      </c>
      <c r="GC28" s="28">
        <f>+SUM(FQ28:GB28)</f>
        <v>0</v>
      </c>
      <c r="GD28" s="27">
        <v>0</v>
      </c>
      <c r="GE28" s="27">
        <v>0</v>
      </c>
      <c r="GF28" s="27">
        <v>0</v>
      </c>
      <c r="GG28" s="27">
        <v>0</v>
      </c>
      <c r="GH28" s="27">
        <v>2816.1414897899999</v>
      </c>
      <c r="GI28" s="27">
        <v>0</v>
      </c>
      <c r="GJ28" s="27">
        <v>0</v>
      </c>
      <c r="GK28" s="27">
        <v>0</v>
      </c>
      <c r="GL28" s="27">
        <v>0</v>
      </c>
      <c r="GM28" s="27">
        <v>0</v>
      </c>
      <c r="GN28" s="27">
        <v>0</v>
      </c>
      <c r="GO28" s="27">
        <v>0</v>
      </c>
      <c r="GP28" s="28">
        <f>+SUM(GD28:GO28)</f>
        <v>2816.1414897899999</v>
      </c>
      <c r="GQ28" s="27">
        <v>0</v>
      </c>
      <c r="GR28" s="27">
        <v>0</v>
      </c>
      <c r="GS28" s="27">
        <v>0</v>
      </c>
      <c r="GT28" s="27">
        <v>0</v>
      </c>
      <c r="GU28" s="27">
        <v>0</v>
      </c>
      <c r="GV28" s="27">
        <v>0</v>
      </c>
      <c r="GW28" s="27">
        <v>0</v>
      </c>
      <c r="GX28" s="27">
        <v>0</v>
      </c>
      <c r="GY28" s="27">
        <v>0</v>
      </c>
      <c r="GZ28" s="27">
        <v>0</v>
      </c>
      <c r="HA28" s="27">
        <v>0</v>
      </c>
      <c r="HB28" s="27">
        <v>0</v>
      </c>
      <c r="HC28" s="28">
        <f>+SUM(GQ28:HB28)</f>
        <v>0</v>
      </c>
      <c r="HD28" s="27">
        <v>0</v>
      </c>
      <c r="HE28" s="27">
        <v>0</v>
      </c>
      <c r="HF28" s="27">
        <v>0</v>
      </c>
      <c r="HG28" s="27">
        <v>0</v>
      </c>
      <c r="HH28" s="27">
        <v>0</v>
      </c>
      <c r="HI28" s="27">
        <v>0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8">
        <f>+SUM(HD28:HO28)</f>
        <v>0</v>
      </c>
      <c r="HQ28" s="27">
        <v>0</v>
      </c>
      <c r="HR28" s="27">
        <v>0</v>
      </c>
      <c r="HS28" s="27">
        <v>0</v>
      </c>
      <c r="HT28" s="27">
        <v>0</v>
      </c>
      <c r="HU28" s="27">
        <v>0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8">
        <f>+SUM(HQ28:IB28)</f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0</v>
      </c>
      <c r="II28" s="27">
        <v>0</v>
      </c>
      <c r="IJ28" s="27">
        <v>0</v>
      </c>
      <c r="IK28" s="27">
        <v>0</v>
      </c>
      <c r="IL28" s="27">
        <v>0</v>
      </c>
      <c r="IM28" s="27">
        <v>0</v>
      </c>
      <c r="IN28" s="27">
        <v>0</v>
      </c>
      <c r="IO28" s="27">
        <v>0</v>
      </c>
      <c r="IP28" s="28">
        <f>+SUM(ID28:IO28)</f>
        <v>0</v>
      </c>
      <c r="IQ28" s="27">
        <v>0</v>
      </c>
      <c r="IR28" s="27">
        <v>0</v>
      </c>
      <c r="IS28" s="27">
        <v>0</v>
      </c>
      <c r="IT28" s="27">
        <v>0</v>
      </c>
      <c r="IU28" s="27">
        <v>0</v>
      </c>
      <c r="IV28" s="27">
        <v>0</v>
      </c>
      <c r="IW28" s="27">
        <v>0</v>
      </c>
      <c r="IX28" s="27">
        <v>0</v>
      </c>
      <c r="IY28" s="28">
        <f>+SUM(IQ28:IX28)</f>
        <v>0</v>
      </c>
    </row>
    <row r="29" spans="1:259" s="11" customFormat="1" ht="20.100000000000001" customHeight="1" x14ac:dyDescent="0.25">
      <c r="A29" s="20" t="s">
        <v>13</v>
      </c>
      <c r="B29" s="27">
        <v>241.708259</v>
      </c>
      <c r="C29" s="27">
        <v>49.499436459999998</v>
      </c>
      <c r="D29" s="27">
        <v>1.51832229</v>
      </c>
      <c r="E29" s="27">
        <v>8.1872599099999999</v>
      </c>
      <c r="F29" s="27">
        <v>4.8108300000000003E-3</v>
      </c>
      <c r="G29" s="27">
        <v>304.40085500000004</v>
      </c>
      <c r="H29" s="27">
        <v>38.242191949999999</v>
      </c>
      <c r="I29" s="27">
        <v>157.76747618000002</v>
      </c>
      <c r="J29" s="27">
        <v>25.823739369999998</v>
      </c>
      <c r="K29" s="27">
        <v>130.83793806</v>
      </c>
      <c r="L29" s="27">
        <v>500.20195530535204</v>
      </c>
      <c r="M29" s="27">
        <v>2344.3859857999996</v>
      </c>
      <c r="N29" s="27">
        <v>741.74601528999995</v>
      </c>
      <c r="O29" s="27">
        <v>44.0478442</v>
      </c>
      <c r="P29" s="28">
        <f>SUM(D29:O29)</f>
        <v>4297.1643941853517</v>
      </c>
      <c r="Q29" s="27">
        <v>2.6576979399999998</v>
      </c>
      <c r="R29" s="27">
        <v>102.99536369999998</v>
      </c>
      <c r="S29" s="27">
        <v>0.68169711000000011</v>
      </c>
      <c r="T29" s="27">
        <v>9.2246210000000009E-2</v>
      </c>
      <c r="U29" s="27">
        <v>662.61001456999986</v>
      </c>
      <c r="V29" s="27">
        <v>1.7185126700000002</v>
      </c>
      <c r="W29" s="27">
        <v>1170.1812962499998</v>
      </c>
      <c r="X29" s="27">
        <v>4194.4946197199997</v>
      </c>
      <c r="Y29" s="27">
        <v>3295.4091078500001</v>
      </c>
      <c r="Z29" s="27">
        <v>2.1714009999999999E-2</v>
      </c>
      <c r="AA29" s="27">
        <v>67.841575039999995</v>
      </c>
      <c r="AB29" s="27">
        <v>784.71611687999996</v>
      </c>
      <c r="AC29" s="28">
        <f>SUM(Q29:AB29)</f>
        <v>10283.419961949998</v>
      </c>
      <c r="AD29" s="27">
        <v>50.239051539999991</v>
      </c>
      <c r="AE29" s="27">
        <v>0.94459371999999997</v>
      </c>
      <c r="AF29" s="27">
        <v>94.335128490000002</v>
      </c>
      <c r="AG29" s="27">
        <v>8.4513055099999992</v>
      </c>
      <c r="AH29" s="27">
        <v>0.4598797</v>
      </c>
      <c r="AI29" s="27">
        <v>21.777503399999997</v>
      </c>
      <c r="AJ29" s="27">
        <v>502.57817245000007</v>
      </c>
      <c r="AK29" s="27">
        <v>7216.4070431499995</v>
      </c>
      <c r="AL29" s="27">
        <v>1.1064238500000001</v>
      </c>
      <c r="AM29" s="27">
        <v>95.663473440000004</v>
      </c>
      <c r="AN29" s="27">
        <v>672.21147380000002</v>
      </c>
      <c r="AO29" s="27">
        <v>1218.0793124200002</v>
      </c>
      <c r="AP29" s="28">
        <f>SUM(AD29:AO29)</f>
        <v>9882.2533614700023</v>
      </c>
      <c r="AQ29" s="27">
        <v>0.44755732000000004</v>
      </c>
      <c r="AR29" s="27">
        <v>8.1245810000000002E-2</v>
      </c>
      <c r="AS29" s="27">
        <v>16.725871989999998</v>
      </c>
      <c r="AT29" s="27">
        <v>3000.1873993700001</v>
      </c>
      <c r="AU29" s="27">
        <v>188.77440268000001</v>
      </c>
      <c r="AV29" s="27">
        <v>0.46829824999999997</v>
      </c>
      <c r="AW29" s="27">
        <v>1.9635826700000001</v>
      </c>
      <c r="AX29" s="27">
        <v>35.298129419999995</v>
      </c>
      <c r="AY29" s="27">
        <v>67898.638079299984</v>
      </c>
      <c r="AZ29" s="27">
        <v>21.34603083</v>
      </c>
      <c r="BA29" s="27">
        <v>111.45242548</v>
      </c>
      <c r="BB29" s="27">
        <v>18845.0863536</v>
      </c>
      <c r="BC29" s="28">
        <f>SUM(AQ29:BB29)</f>
        <v>90120.469376719979</v>
      </c>
      <c r="BD29" s="27">
        <v>132.70375703000002</v>
      </c>
      <c r="BE29" s="27">
        <v>0.23026893999999998</v>
      </c>
      <c r="BF29" s="27">
        <v>73.31025382</v>
      </c>
      <c r="BG29" s="27">
        <v>1637.18681292</v>
      </c>
      <c r="BH29" s="27">
        <v>0.64149904000000002</v>
      </c>
      <c r="BI29" s="27">
        <v>66.260056429999992</v>
      </c>
      <c r="BJ29" s="27">
        <v>5.6418147900000006</v>
      </c>
      <c r="BK29" s="27">
        <v>473.21596088000001</v>
      </c>
      <c r="BL29" s="27">
        <v>15.143863329999999</v>
      </c>
      <c r="BM29" s="27">
        <v>4.9584410600000002</v>
      </c>
      <c r="BN29" s="27">
        <v>6.9755263100000002</v>
      </c>
      <c r="BO29" s="27">
        <v>6.0752520099999998</v>
      </c>
      <c r="BP29" s="28">
        <f>SUM(BD29:BO29)</f>
        <v>2422.3435065600002</v>
      </c>
      <c r="BQ29" s="27">
        <v>138.67443660999999</v>
      </c>
      <c r="BR29" s="27">
        <v>61200.957229580003</v>
      </c>
      <c r="BS29" s="27">
        <v>14.673286209999999</v>
      </c>
      <c r="BT29" s="27">
        <v>1.18110713</v>
      </c>
      <c r="BU29" s="27">
        <v>0.13659735000000001</v>
      </c>
      <c r="BV29" s="27">
        <v>44197.717594190006</v>
      </c>
      <c r="BW29" s="27">
        <v>94.745683640000024</v>
      </c>
      <c r="BX29" s="27">
        <v>6.4428709599999996</v>
      </c>
      <c r="BY29" s="27">
        <v>3.4078809899999998</v>
      </c>
      <c r="BZ29" s="27">
        <v>11.772014290000001</v>
      </c>
      <c r="CA29" s="27">
        <v>0.96881384000000004</v>
      </c>
      <c r="CB29" s="27">
        <v>16.6181999</v>
      </c>
      <c r="CC29" s="28">
        <f>SUM(BQ29:CB29)</f>
        <v>105687.29571469</v>
      </c>
      <c r="CD29" s="27">
        <v>3.0878664499999999</v>
      </c>
      <c r="CE29" s="27">
        <v>13.902154059999999</v>
      </c>
      <c r="CF29" s="27">
        <v>7.4225055099999997</v>
      </c>
      <c r="CG29" s="27">
        <v>2.2669570800000001</v>
      </c>
      <c r="CH29" s="27">
        <v>4.0985400100000007</v>
      </c>
      <c r="CI29" s="27">
        <v>2.5538696200000004</v>
      </c>
      <c r="CJ29" s="27">
        <v>0.90822283000000004</v>
      </c>
      <c r="CK29" s="27">
        <v>24.981846529999988</v>
      </c>
      <c r="CL29" s="27">
        <v>66.052288779999998</v>
      </c>
      <c r="CM29" s="27">
        <v>3.0514371200000006</v>
      </c>
      <c r="CN29" s="27">
        <v>119.11878222000001</v>
      </c>
      <c r="CO29" s="27">
        <v>20.76972657</v>
      </c>
      <c r="CP29" s="28">
        <f>+SUM(CD29:CO29)</f>
        <v>268.21419678000001</v>
      </c>
      <c r="CQ29" s="27">
        <v>0.22742518</v>
      </c>
      <c r="CR29" s="27">
        <v>1.2786478099999998</v>
      </c>
      <c r="CS29" s="27">
        <v>1.27409474</v>
      </c>
      <c r="CT29" s="27">
        <v>12.000222949999999</v>
      </c>
      <c r="CU29" s="27">
        <v>5.3534758799999995</v>
      </c>
      <c r="CV29" s="27">
        <v>0.72271883999999997</v>
      </c>
      <c r="CW29" s="27">
        <v>3.6660559300000006</v>
      </c>
      <c r="CX29" s="27">
        <v>11.158739259999999</v>
      </c>
      <c r="CY29" s="27">
        <v>43.965149400000008</v>
      </c>
      <c r="CZ29" s="27">
        <v>29.290498979999999</v>
      </c>
      <c r="DA29" s="27">
        <v>1.8650906199999997</v>
      </c>
      <c r="DB29" s="27">
        <v>4.68169126</v>
      </c>
      <c r="DC29" s="28">
        <f>+SUM(CQ29:DB29)</f>
        <v>115.48381085</v>
      </c>
      <c r="DD29" s="27">
        <v>19.290971789999997</v>
      </c>
      <c r="DE29" s="27">
        <v>6.17916445</v>
      </c>
      <c r="DF29" s="27">
        <v>410.96890346000004</v>
      </c>
      <c r="DG29" s="27">
        <v>15.001473979999998</v>
      </c>
      <c r="DH29" s="27">
        <v>2.3691948199999997</v>
      </c>
      <c r="DI29" s="27">
        <v>8.1836410399999995</v>
      </c>
      <c r="DJ29" s="27">
        <v>0.71765256000000011</v>
      </c>
      <c r="DK29" s="27">
        <v>37.120416880000001</v>
      </c>
      <c r="DL29" s="27">
        <v>12.21356108</v>
      </c>
      <c r="DM29" s="27">
        <v>34.926347270000001</v>
      </c>
      <c r="DN29" s="27">
        <v>227.85061822000006</v>
      </c>
      <c r="DO29" s="27">
        <v>0.93730803000000007</v>
      </c>
      <c r="DP29" s="28">
        <f>+SUM(DD29:DO29)</f>
        <v>775.75925358000006</v>
      </c>
      <c r="DQ29" s="27">
        <v>3.3226116699999992</v>
      </c>
      <c r="DR29" s="27">
        <v>0.74381861999999999</v>
      </c>
      <c r="DS29" s="27">
        <v>2.3485008499999998</v>
      </c>
      <c r="DT29" s="27">
        <v>1.52235761</v>
      </c>
      <c r="DU29" s="27">
        <v>0.18572803000000002</v>
      </c>
      <c r="DV29" s="27">
        <v>6.0988150000000005E-2</v>
      </c>
      <c r="DW29" s="27">
        <v>4.8448149999999995E-2</v>
      </c>
      <c r="DX29" s="27">
        <v>0</v>
      </c>
      <c r="DY29" s="27">
        <v>0</v>
      </c>
      <c r="DZ29" s="27">
        <v>20.47464124</v>
      </c>
      <c r="EA29" s="27">
        <v>5.7402359399999998</v>
      </c>
      <c r="EB29" s="27">
        <v>1.6758586999999998</v>
      </c>
      <c r="EC29" s="28">
        <f>+SUM(DQ29:EB29)</f>
        <v>36.12318896</v>
      </c>
      <c r="ED29" s="27">
        <v>25.865827970000002</v>
      </c>
      <c r="EE29" s="27">
        <v>3.6639719899999967</v>
      </c>
      <c r="EF29" s="27">
        <v>4.3795959999999995E-2</v>
      </c>
      <c r="EG29" s="27">
        <v>0.73799615000000007</v>
      </c>
      <c r="EH29" s="27">
        <v>0.22050949</v>
      </c>
      <c r="EI29" s="27">
        <v>0.12029917</v>
      </c>
      <c r="EJ29" s="27">
        <v>2.27525815</v>
      </c>
      <c r="EK29" s="27">
        <v>22.679570550000001</v>
      </c>
      <c r="EL29" s="27">
        <v>2.5669908100000001</v>
      </c>
      <c r="EM29" s="27">
        <v>48.742488290000004</v>
      </c>
      <c r="EN29" s="27">
        <v>8.8972418200000014</v>
      </c>
      <c r="EO29" s="27">
        <v>17.010267460000016</v>
      </c>
      <c r="EP29" s="28">
        <f>+SUM(ED29:EO29)</f>
        <v>132.82421781000002</v>
      </c>
      <c r="EQ29" s="27">
        <v>13.571420690000014</v>
      </c>
      <c r="ER29" s="27">
        <v>7.3522122400000001</v>
      </c>
      <c r="ES29" s="27">
        <v>24.042201819999999</v>
      </c>
      <c r="ET29" s="27">
        <v>29.34390252</v>
      </c>
      <c r="EU29" s="27">
        <v>3.3706320599999997</v>
      </c>
      <c r="EV29" s="27">
        <v>5.4399053100000003</v>
      </c>
      <c r="EW29" s="27">
        <v>5.3696360000000007</v>
      </c>
      <c r="EX29" s="27">
        <v>3.46788E-3</v>
      </c>
      <c r="EY29" s="27">
        <v>7.2603973899999996</v>
      </c>
      <c r="EZ29" s="27">
        <v>3.2464561999999999</v>
      </c>
      <c r="FA29" s="27">
        <v>5.1127371200000002</v>
      </c>
      <c r="FB29" s="27">
        <v>9.5762800399999986</v>
      </c>
      <c r="FC29" s="28">
        <f>+SUM(EQ29:FB29)</f>
        <v>113.68924927000002</v>
      </c>
      <c r="FD29" s="27">
        <v>2.4340833599999998</v>
      </c>
      <c r="FE29" s="27">
        <v>0.51099795999999997</v>
      </c>
      <c r="FF29" s="27">
        <v>7.7998900000000003E-3</v>
      </c>
      <c r="FG29" s="27">
        <v>4.1177272599999997</v>
      </c>
      <c r="FH29" s="27">
        <v>1.2948580000000001E-2</v>
      </c>
      <c r="FI29" s="27">
        <v>7.6248264199999998</v>
      </c>
      <c r="FJ29" s="27">
        <v>14.16953829</v>
      </c>
      <c r="FK29" s="27">
        <v>4.1194291299999994</v>
      </c>
      <c r="FL29" s="27">
        <v>2.8640355099999999</v>
      </c>
      <c r="FM29" s="27">
        <v>12.843636350000001</v>
      </c>
      <c r="FN29" s="27">
        <v>1.2830678</v>
      </c>
      <c r="FO29" s="27">
        <v>13.86536648</v>
      </c>
      <c r="FP29" s="28">
        <f>+SUM(FD29:FO29)</f>
        <v>63.853457029999994</v>
      </c>
      <c r="FQ29" s="27">
        <v>4.8312224100000005</v>
      </c>
      <c r="FR29" s="27">
        <v>29.372561860000005</v>
      </c>
      <c r="FS29" s="27">
        <v>8.79138E-2</v>
      </c>
      <c r="FT29" s="27">
        <v>31.465479510000002</v>
      </c>
      <c r="FU29" s="27">
        <v>37.880173409999998</v>
      </c>
      <c r="FV29" s="27">
        <v>4.1048600000000001E-3</v>
      </c>
      <c r="FW29" s="27">
        <v>3.38018E-3</v>
      </c>
      <c r="FX29" s="27">
        <v>0</v>
      </c>
      <c r="FY29" s="27">
        <v>2.941351E-2</v>
      </c>
      <c r="FZ29" s="27">
        <v>0.26988192</v>
      </c>
      <c r="GA29" s="27">
        <v>6.4392940399999992</v>
      </c>
      <c r="GB29" s="27">
        <v>0.22332618999999998</v>
      </c>
      <c r="GC29" s="28">
        <f>+SUM(FQ29:GB29)</f>
        <v>110.60675169</v>
      </c>
      <c r="GD29" s="27">
        <v>0.11287517999999999</v>
      </c>
      <c r="GE29" s="27">
        <v>4.2302079999999999E-2</v>
      </c>
      <c r="GF29" s="27">
        <v>0.25870024000000003</v>
      </c>
      <c r="GG29" s="27">
        <v>8.7453039999999996E-2</v>
      </c>
      <c r="GH29" s="27">
        <v>0.11019416</v>
      </c>
      <c r="GI29" s="27">
        <v>0.64762373000000006</v>
      </c>
      <c r="GJ29" s="27">
        <v>0.14327827000000001</v>
      </c>
      <c r="GK29" s="27">
        <v>0.13444680000000001</v>
      </c>
      <c r="GL29" s="27">
        <v>0.55083963999999996</v>
      </c>
      <c r="GM29" s="27">
        <v>4.0477824299999998</v>
      </c>
      <c r="GN29" s="27">
        <v>22.986224020000002</v>
      </c>
      <c r="GO29" s="27">
        <v>24.206273230000001</v>
      </c>
      <c r="GP29" s="28">
        <f>+SUM(GD29:GO29)</f>
        <v>53.327992820000006</v>
      </c>
      <c r="GQ29" s="27">
        <v>8.5094409999999995E-2</v>
      </c>
      <c r="GR29" s="27">
        <v>1.35110818</v>
      </c>
      <c r="GS29" s="27">
        <v>4.6054031599999998</v>
      </c>
      <c r="GT29" s="27">
        <v>0.10972248</v>
      </c>
      <c r="GU29" s="27">
        <v>0</v>
      </c>
      <c r="GV29" s="27">
        <v>2.5795108999999998</v>
      </c>
      <c r="GW29" s="27">
        <v>0</v>
      </c>
      <c r="GX29" s="27">
        <v>0.20748707999999999</v>
      </c>
      <c r="GY29" s="27">
        <v>3.7255115700000001</v>
      </c>
      <c r="GZ29" s="27">
        <v>0</v>
      </c>
      <c r="HA29" s="27">
        <v>3.7830250000000003E-2</v>
      </c>
      <c r="HB29" s="27">
        <v>1.32602368</v>
      </c>
      <c r="HC29" s="28">
        <f>+SUM(GQ29:HB29)</f>
        <v>14.027691710000001</v>
      </c>
      <c r="HD29" s="27">
        <v>0</v>
      </c>
      <c r="HE29" s="27">
        <v>0.25144304000000001</v>
      </c>
      <c r="HF29" s="27">
        <v>1.80349816</v>
      </c>
      <c r="HG29" s="27">
        <v>8.57073325</v>
      </c>
      <c r="HH29" s="27">
        <v>2.2942716399999998</v>
      </c>
      <c r="HI29" s="27">
        <v>1.4973322199999999</v>
      </c>
      <c r="HJ29" s="27">
        <v>0.31308597999999999</v>
      </c>
      <c r="HK29" s="27">
        <v>1.78153476</v>
      </c>
      <c r="HL29" s="27">
        <v>0</v>
      </c>
      <c r="HM29" s="27">
        <v>0.29279609000000001</v>
      </c>
      <c r="HN29" s="27">
        <v>31.048093860000002</v>
      </c>
      <c r="HO29" s="27">
        <v>5.5293886700000003</v>
      </c>
      <c r="HP29" s="28">
        <f>+SUM(HD29:HO29)</f>
        <v>53.382177670000004</v>
      </c>
      <c r="HQ29" s="27">
        <v>2.8854680000000001E-2</v>
      </c>
      <c r="HR29" s="27">
        <v>4.6604819999999998E-2</v>
      </c>
      <c r="HS29" s="27">
        <v>6.4214491000000002</v>
      </c>
      <c r="HT29" s="27">
        <v>5.0977400399999997</v>
      </c>
      <c r="HU29" s="27">
        <v>15.460158720000001</v>
      </c>
      <c r="HV29" s="27">
        <v>0.30708908000000001</v>
      </c>
      <c r="HW29" s="27">
        <v>0</v>
      </c>
      <c r="HX29" s="27">
        <v>0</v>
      </c>
      <c r="HY29" s="27">
        <v>0</v>
      </c>
      <c r="HZ29" s="27">
        <v>0</v>
      </c>
      <c r="IA29" s="27">
        <v>0</v>
      </c>
      <c r="IB29" s="27">
        <v>6.7887970000000006E-2</v>
      </c>
      <c r="IC29" s="28">
        <f>+SUM(HQ29:IB29)</f>
        <v>27.42978441</v>
      </c>
      <c r="ID29" s="27">
        <v>0</v>
      </c>
      <c r="IE29" s="27">
        <v>0</v>
      </c>
      <c r="IF29" s="27">
        <v>0</v>
      </c>
      <c r="IG29" s="27">
        <v>0</v>
      </c>
      <c r="IH29" s="27">
        <v>0</v>
      </c>
      <c r="II29" s="27">
        <v>0</v>
      </c>
      <c r="IJ29" s="27">
        <v>0</v>
      </c>
      <c r="IK29" s="27">
        <v>0</v>
      </c>
      <c r="IL29" s="27">
        <v>0</v>
      </c>
      <c r="IM29" s="27">
        <v>0</v>
      </c>
      <c r="IN29" s="27">
        <v>0.23545806</v>
      </c>
      <c r="IO29" s="27">
        <v>0</v>
      </c>
      <c r="IP29" s="28">
        <f>+SUM(ID29:IO29)</f>
        <v>0.23545806</v>
      </c>
      <c r="IQ29" s="27">
        <v>0</v>
      </c>
      <c r="IR29" s="27">
        <v>6.7131159999999995E-2</v>
      </c>
      <c r="IS29" s="27">
        <v>0</v>
      </c>
      <c r="IT29" s="27">
        <v>0</v>
      </c>
      <c r="IU29" s="27">
        <v>0</v>
      </c>
      <c r="IV29" s="27">
        <v>0</v>
      </c>
      <c r="IW29" s="27">
        <v>0</v>
      </c>
      <c r="IX29" s="27">
        <v>0.10350159</v>
      </c>
      <c r="IY29" s="28">
        <f>+SUM(IQ29:IX29)</f>
        <v>0.17063275</v>
      </c>
    </row>
    <row r="30" spans="1:259" s="11" customFormat="1" ht="20.100000000000001" hidden="1" customHeight="1" x14ac:dyDescent="0.25">
      <c r="A30" s="37" t="s">
        <v>12</v>
      </c>
      <c r="B30" s="35">
        <v>2800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/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f>AA31</f>
        <v>0</v>
      </c>
      <c r="AB30" s="35">
        <v>0</v>
      </c>
      <c r="AC30" s="35"/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5">
        <v>0</v>
      </c>
      <c r="AK30" s="35">
        <v>0</v>
      </c>
      <c r="AL30" s="35">
        <v>0</v>
      </c>
      <c r="AM30" s="35">
        <v>0</v>
      </c>
      <c r="AN30" s="35">
        <v>0</v>
      </c>
      <c r="AO30" s="35">
        <v>0</v>
      </c>
      <c r="AP30" s="35"/>
      <c r="AQ30" s="35">
        <v>0</v>
      </c>
      <c r="AR30" s="35">
        <v>0</v>
      </c>
      <c r="AS30" s="35">
        <v>0</v>
      </c>
      <c r="AT30" s="35">
        <v>0</v>
      </c>
      <c r="AU30" s="35">
        <v>0</v>
      </c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</row>
    <row r="31" spans="1:259" s="11" customFormat="1" ht="20.100000000000001" hidden="1" customHeight="1" x14ac:dyDescent="0.25">
      <c r="A31" s="36" t="s">
        <v>11</v>
      </c>
      <c r="B31" s="35">
        <v>2800</v>
      </c>
      <c r="C31" s="35">
        <v>0</v>
      </c>
      <c r="D31" s="35">
        <v>0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/>
      <c r="Q31" s="35">
        <v>0</v>
      </c>
      <c r="R31" s="35">
        <v>0</v>
      </c>
      <c r="S31" s="35">
        <v>0</v>
      </c>
      <c r="T31" s="35">
        <v>0</v>
      </c>
      <c r="U31" s="35">
        <v>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/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5">
        <v>0</v>
      </c>
      <c r="AK31" s="35">
        <v>0</v>
      </c>
      <c r="AL31" s="35">
        <v>0</v>
      </c>
      <c r="AM31" s="35">
        <v>0</v>
      </c>
      <c r="AN31" s="35">
        <v>0</v>
      </c>
      <c r="AO31" s="35">
        <v>0</v>
      </c>
      <c r="AP31" s="35"/>
      <c r="AQ31" s="35">
        <v>0</v>
      </c>
      <c r="AR31" s="35">
        <v>0</v>
      </c>
      <c r="AS31" s="35">
        <v>0</v>
      </c>
      <c r="AT31" s="35">
        <v>0</v>
      </c>
      <c r="AU31" s="35">
        <v>0</v>
      </c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</row>
    <row r="32" spans="1:259" s="11" customFormat="1" ht="12" customHeight="1" x14ac:dyDescent="0.25">
      <c r="A32" s="36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</row>
    <row r="33" spans="1:259" s="21" customFormat="1" ht="20.100000000000001" customHeight="1" x14ac:dyDescent="0.25">
      <c r="A33" s="34" t="s">
        <v>10</v>
      </c>
      <c r="B33" s="32">
        <v>4887.6629644799996</v>
      </c>
      <c r="C33" s="32">
        <v>492.51917200000003</v>
      </c>
      <c r="D33" s="32">
        <v>3952.94041062</v>
      </c>
      <c r="E33" s="32">
        <v>2844.3439001199999</v>
      </c>
      <c r="F33" s="32">
        <f>F34+F35</f>
        <v>2742.9410628099999</v>
      </c>
      <c r="G33" s="32">
        <f>G34+G35</f>
        <v>2588.57042546</v>
      </c>
      <c r="H33" s="32">
        <f>H34+H35</f>
        <v>5347.4648685399998</v>
      </c>
      <c r="I33" s="32">
        <f>I34+I35</f>
        <v>513.15480565999997</v>
      </c>
      <c r="J33" s="32">
        <f>J34+J35</f>
        <v>7367.3367184699991</v>
      </c>
      <c r="K33" s="32">
        <f>K34+K35</f>
        <v>975.14785218999987</v>
      </c>
      <c r="L33" s="32">
        <f>L34+L35</f>
        <v>3055.2926857199996</v>
      </c>
      <c r="M33" s="32">
        <f>M34+M35</f>
        <v>2802.7511697200007</v>
      </c>
      <c r="N33" s="32">
        <f>N34+N35</f>
        <v>1670.9952394499999</v>
      </c>
      <c r="O33" s="32">
        <f>O34+O35</f>
        <v>1652.5736355399999</v>
      </c>
      <c r="P33" s="33">
        <f>SUM(D33:O33)</f>
        <v>35513.512774299998</v>
      </c>
      <c r="Q33" s="32">
        <f>Q34+Q35</f>
        <v>1927.1864424099999</v>
      </c>
      <c r="R33" s="32">
        <f>R34+R35</f>
        <v>1098.6319860999999</v>
      </c>
      <c r="S33" s="32">
        <f>S34+S35</f>
        <v>2517.996140699735</v>
      </c>
      <c r="T33" s="32">
        <f>T34+T35</f>
        <v>3534.5961981899995</v>
      </c>
      <c r="U33" s="32">
        <f>U34+U35</f>
        <v>940.34516271999996</v>
      </c>
      <c r="V33" s="32">
        <f>V34+V35</f>
        <v>484.75119633000008</v>
      </c>
      <c r="W33" s="32">
        <f>W34+W35</f>
        <v>1980.7958313199999</v>
      </c>
      <c r="X33" s="32">
        <f>X34+X35</f>
        <v>655.11462308000011</v>
      </c>
      <c r="Y33" s="32">
        <f>Y34+Y35</f>
        <v>1249.7816700599999</v>
      </c>
      <c r="Z33" s="32">
        <f>Z34+Z35</f>
        <v>1051.3098459199998</v>
      </c>
      <c r="AA33" s="32">
        <f>AA34+AA35</f>
        <v>1179.6270184199998</v>
      </c>
      <c r="AB33" s="32">
        <f>AB34+AB35</f>
        <v>558.68034224000007</v>
      </c>
      <c r="AC33" s="33">
        <f>SUM(Q33:AB33)</f>
        <v>17178.816457489735</v>
      </c>
      <c r="AD33" s="32">
        <f>AD34+AD35</f>
        <v>2485.16363684</v>
      </c>
      <c r="AE33" s="32">
        <f>AE34+AE35</f>
        <v>1172.84526611</v>
      </c>
      <c r="AF33" s="32">
        <f>AF34+AF35</f>
        <v>1448.1159465999999</v>
      </c>
      <c r="AG33" s="32">
        <f>AG34+AG35</f>
        <v>2029.5230467700003</v>
      </c>
      <c r="AH33" s="32">
        <f>AH34+AH35</f>
        <v>1027.5518956999999</v>
      </c>
      <c r="AI33" s="32">
        <f>AI34+AI35</f>
        <v>1085.7059203000001</v>
      </c>
      <c r="AJ33" s="32">
        <f>AJ34+AJ35</f>
        <v>2510.6174077200003</v>
      </c>
      <c r="AK33" s="32">
        <f>AK34+AK35</f>
        <v>738.6494925400001</v>
      </c>
      <c r="AL33" s="32">
        <f>AL34+AL35</f>
        <v>1519.1047583499997</v>
      </c>
      <c r="AM33" s="32">
        <f>AM34+AM35</f>
        <v>3373.4298350900003</v>
      </c>
      <c r="AN33" s="32">
        <f>AN34+AN35</f>
        <v>1211.2614156099999</v>
      </c>
      <c r="AO33" s="32">
        <f>AO34+AO35</f>
        <v>4073.7626043633336</v>
      </c>
      <c r="AP33" s="33">
        <f>SUM(AD33:AO33)</f>
        <v>22675.731225993331</v>
      </c>
      <c r="AQ33" s="32">
        <f>AQ34+AQ35</f>
        <v>2343.3522112800001</v>
      </c>
      <c r="AR33" s="32">
        <f>AR34+AR35</f>
        <v>2122.0078914200003</v>
      </c>
      <c r="AS33" s="32">
        <f>AS34+AS35</f>
        <v>2379.1931348900002</v>
      </c>
      <c r="AT33" s="32">
        <f>AT34+AT35</f>
        <v>1655.84100502</v>
      </c>
      <c r="AU33" s="32">
        <f>AU34+AU35</f>
        <v>1496.43992628</v>
      </c>
      <c r="AV33" s="32">
        <f>AV34+AV35</f>
        <v>519.74165061999986</v>
      </c>
      <c r="AW33" s="32">
        <f>AW34+AW35</f>
        <v>3044.3768106200005</v>
      </c>
      <c r="AX33" s="32">
        <f>AX34+AX35</f>
        <v>577.01827422999997</v>
      </c>
      <c r="AY33" s="32">
        <f>AY34+AY35</f>
        <v>1297.45656811</v>
      </c>
      <c r="AZ33" s="32">
        <f>AZ34+AZ35</f>
        <v>2121.1711633199998</v>
      </c>
      <c r="BA33" s="32">
        <f>BA34+BA35</f>
        <v>1960.8880774199995</v>
      </c>
      <c r="BB33" s="32">
        <v>2675.1614783700002</v>
      </c>
      <c r="BC33" s="33">
        <f>SUM(AQ33:BB33)</f>
        <v>22192.64819158</v>
      </c>
      <c r="BD33" s="32">
        <f>BD34+BD35</f>
        <v>4235.0826224399998</v>
      </c>
      <c r="BE33" s="32">
        <f>BE34+BE35</f>
        <v>776.38760876000003</v>
      </c>
      <c r="BF33" s="32">
        <f>BF34+BF35</f>
        <v>2019.6397326263013</v>
      </c>
      <c r="BG33" s="32">
        <f>BG34+BG35</f>
        <v>626.32944291000001</v>
      </c>
      <c r="BH33" s="32">
        <f>BH34+BH35</f>
        <v>1472.3153890299998</v>
      </c>
      <c r="BI33" s="32">
        <f>BI34+BI35</f>
        <v>5779.1093631500007</v>
      </c>
      <c r="BJ33" s="32">
        <f>BJ34+BJ35</f>
        <v>2940.7511392099996</v>
      </c>
      <c r="BK33" s="32">
        <f>BK34+BK35</f>
        <v>1158.1122870900001</v>
      </c>
      <c r="BL33" s="32">
        <f>BL34+BL35</f>
        <v>1677.4159406700001</v>
      </c>
      <c r="BM33" s="32">
        <f>BM34+BM35</f>
        <v>5187.6829919699976</v>
      </c>
      <c r="BN33" s="32">
        <f>BN34+BN35</f>
        <v>458.41276748999991</v>
      </c>
      <c r="BO33" s="32">
        <f>BO34+BO35</f>
        <v>508.33536788999999</v>
      </c>
      <c r="BP33" s="33">
        <f>SUM(BD33:BO33)</f>
        <v>26839.574653236294</v>
      </c>
      <c r="BQ33" s="32">
        <f>BQ34+BQ35</f>
        <v>3298.8866608799999</v>
      </c>
      <c r="BR33" s="32">
        <f>BR34+BR35</f>
        <v>413.21368216000002</v>
      </c>
      <c r="BS33" s="32">
        <f>BS34+BS35</f>
        <v>705.29107262999992</v>
      </c>
      <c r="BT33" s="32">
        <f>BT34+BT35</f>
        <v>604.42291286</v>
      </c>
      <c r="BU33" s="32">
        <f>BU34+BU35</f>
        <v>2544.9293080331845</v>
      </c>
      <c r="BV33" s="32">
        <f>BV34+BV35</f>
        <v>708.99285395000015</v>
      </c>
      <c r="BW33" s="32">
        <f>BW34+BW35</f>
        <v>2239.52438828</v>
      </c>
      <c r="BX33" s="32">
        <f>BX34+BX35</f>
        <v>360.99031604000004</v>
      </c>
      <c r="BY33" s="32">
        <f>BY34+BY35</f>
        <v>2883.9906701014497</v>
      </c>
      <c r="BZ33" s="32">
        <f>BZ34+BZ35</f>
        <v>619.78135954999993</v>
      </c>
      <c r="CA33" s="32">
        <f>CA34+CA35</f>
        <v>579.99211136004499</v>
      </c>
      <c r="CB33" s="32">
        <f>CB34+CB35</f>
        <v>791.66840243000013</v>
      </c>
      <c r="CC33" s="33">
        <f>SUM(BQ33:CB33)</f>
        <v>15751.68373827468</v>
      </c>
      <c r="CD33" s="32">
        <f>CD34+CD35</f>
        <v>2091.18001624</v>
      </c>
      <c r="CE33" s="32">
        <f>CE34+CE35</f>
        <v>441.37854555999996</v>
      </c>
      <c r="CF33" s="32">
        <f>CF34+CF35</f>
        <v>813.93673395000008</v>
      </c>
      <c r="CG33" s="32">
        <f>CG34+CG35</f>
        <v>822.17212860800009</v>
      </c>
      <c r="CH33" s="32">
        <f>CH34+CH35</f>
        <v>1123.7127453992589</v>
      </c>
      <c r="CI33" s="32">
        <f>CI34+CI35</f>
        <v>7298.2703099352493</v>
      </c>
      <c r="CJ33" s="32">
        <f>CJ34+CJ35</f>
        <v>2272.1850087267017</v>
      </c>
      <c r="CK33" s="32">
        <f>CK34+CK35</f>
        <v>354.20982026000001</v>
      </c>
      <c r="CL33" s="32">
        <f>CL34+CL35</f>
        <v>370.29494672999999</v>
      </c>
      <c r="CM33" s="32">
        <f>CM34+CM35</f>
        <v>3540.5142042900002</v>
      </c>
      <c r="CN33" s="32">
        <f>CN34+CN35</f>
        <v>5274.0638337800001</v>
      </c>
      <c r="CO33" s="32">
        <f>CO34+CO35</f>
        <v>5693.9637562000007</v>
      </c>
      <c r="CP33" s="33">
        <f>+SUM(CD33:CO33)</f>
        <v>30095.88204967921</v>
      </c>
      <c r="CQ33" s="32">
        <f>CQ34+CQ35</f>
        <v>2277.2278727100002</v>
      </c>
      <c r="CR33" s="32">
        <f>CR34+CR35</f>
        <v>1934.6196963199998</v>
      </c>
      <c r="CS33" s="32">
        <f>CS34+CS35</f>
        <v>204.61453198000001</v>
      </c>
      <c r="CT33" s="32">
        <f>CT34+CT35</f>
        <v>371.76130314000005</v>
      </c>
      <c r="CU33" s="32">
        <f>CU34+CU35</f>
        <v>395.68739869000001</v>
      </c>
      <c r="CV33" s="32">
        <f>CV34+CV35</f>
        <v>850.16504331999988</v>
      </c>
      <c r="CW33" s="32">
        <f>CW34+CW35</f>
        <v>3145.3124908099999</v>
      </c>
      <c r="CX33" s="32">
        <f>CX34+CX35</f>
        <v>4989.4635326099997</v>
      </c>
      <c r="CY33" s="32">
        <f>CY34+CY35</f>
        <v>335.84745805999995</v>
      </c>
      <c r="CZ33" s="32">
        <f>CZ34+CZ35</f>
        <v>420.86418326999996</v>
      </c>
      <c r="DA33" s="32">
        <f>DA34+DA35</f>
        <v>522.67011825999998</v>
      </c>
      <c r="DB33" s="32">
        <f>DB34+DB35</f>
        <v>865.21547837999992</v>
      </c>
      <c r="DC33" s="33">
        <f>+SUM(CQ33:DB33)</f>
        <v>16313.449107549997</v>
      </c>
      <c r="DD33" s="32">
        <f>DD34+DD35</f>
        <v>2762.3866993299998</v>
      </c>
      <c r="DE33" s="32">
        <f>DE34+DE35</f>
        <v>2025.2775239499999</v>
      </c>
      <c r="DF33" s="32">
        <f>DF34+DF35</f>
        <v>3449.36368072</v>
      </c>
      <c r="DG33" s="32">
        <f>DG34+DG35</f>
        <v>668.82845032</v>
      </c>
      <c r="DH33" s="32">
        <f>DH34+DH35</f>
        <v>442.23436469000001</v>
      </c>
      <c r="DI33" s="32">
        <f>DI34+DI35</f>
        <v>1172.9261556199999</v>
      </c>
      <c r="DJ33" s="32">
        <f>DJ34+DJ35</f>
        <v>3138.2972321400002</v>
      </c>
      <c r="DK33" s="32">
        <f>DK34+DK35</f>
        <v>4524.0939118300003</v>
      </c>
      <c r="DL33" s="32">
        <f>DL34+DL35</f>
        <v>274.16291773</v>
      </c>
      <c r="DM33" s="32">
        <f>DM34+DM35</f>
        <v>430.28361123000002</v>
      </c>
      <c r="DN33" s="32">
        <f>DN34+DN35</f>
        <v>737.61770670999999</v>
      </c>
      <c r="DO33" s="32">
        <f>DO34+DO35</f>
        <v>1736.7160343099999</v>
      </c>
      <c r="DP33" s="33">
        <f>+SUM(DD33:DO33)</f>
        <v>21362.188288579997</v>
      </c>
      <c r="DQ33" s="32">
        <f>DQ34+DQ35</f>
        <v>6523.6425595299997</v>
      </c>
      <c r="DR33" s="32">
        <f>DR34+DR35</f>
        <v>366.08322533</v>
      </c>
      <c r="DS33" s="32">
        <f>DS34+DS35</f>
        <v>837.39859980140989</v>
      </c>
      <c r="DT33" s="32">
        <f>DT34+DT35</f>
        <v>650.54871845775006</v>
      </c>
      <c r="DU33" s="32">
        <f>DU34+DU35</f>
        <v>373.82161894627001</v>
      </c>
      <c r="DV33" s="32">
        <f>DV34+DV35</f>
        <v>1406.8926109778599</v>
      </c>
      <c r="DW33" s="32">
        <f>DW34+DW35</f>
        <v>2866.7131918001601</v>
      </c>
      <c r="DX33" s="32">
        <f>DX34+DX35</f>
        <v>169.61970019205</v>
      </c>
      <c r="DY33" s="32">
        <f>DY34+DY35</f>
        <v>137.35530946656999</v>
      </c>
      <c r="DZ33" s="32">
        <f>DZ34+DZ35</f>
        <v>474.56152155618997</v>
      </c>
      <c r="EA33" s="32">
        <f>EA34+EA35</f>
        <v>424.49373554740998</v>
      </c>
      <c r="EB33" s="32">
        <f>EB34+EB35</f>
        <v>973.37086590928004</v>
      </c>
      <c r="EC33" s="33">
        <f>+SUM(DQ33:EB33)</f>
        <v>15204.501657514949</v>
      </c>
      <c r="ED33" s="32">
        <f>ED34+ED35</f>
        <v>9069.8420003808988</v>
      </c>
      <c r="EE33" s="32">
        <f>EE34+EE35</f>
        <v>305.08195120982003</v>
      </c>
      <c r="EF33" s="32">
        <f>EF34+EF35</f>
        <v>552.51814484230999</v>
      </c>
      <c r="EG33" s="32">
        <f>EG34+EG35</f>
        <v>885.26925107052</v>
      </c>
      <c r="EH33" s="32">
        <f>EH34+EH35</f>
        <v>1038.10954806772</v>
      </c>
      <c r="EI33" s="32">
        <f>EI34+EI35</f>
        <v>2439.0454558809702</v>
      </c>
      <c r="EJ33" s="32">
        <f>EJ34+EJ35</f>
        <v>2607.3251098576302</v>
      </c>
      <c r="EK33" s="32">
        <f>EK34+EK35</f>
        <v>306.42002191658003</v>
      </c>
      <c r="EL33" s="32">
        <f>EL34+EL35</f>
        <v>110.31158944894</v>
      </c>
      <c r="EM33" s="32">
        <f>EM34+EM35</f>
        <v>7186.9508006393689</v>
      </c>
      <c r="EN33" s="32">
        <f>EN34+EN35</f>
        <v>6265.7878521085604</v>
      </c>
      <c r="EO33" s="32">
        <f>EO34+EO35</f>
        <v>892.30336360362003</v>
      </c>
      <c r="EP33" s="33">
        <f>+SUM(ED33:EO33)</f>
        <v>31658.96508902694</v>
      </c>
      <c r="EQ33" s="32">
        <f>EQ34+EQ35</f>
        <v>2415.7791283290098</v>
      </c>
      <c r="ER33" s="32">
        <f>ER34+ER35</f>
        <v>399.43501100992</v>
      </c>
      <c r="ES33" s="32">
        <f>ES34+ES35</f>
        <v>173.84441576696997</v>
      </c>
      <c r="ET33" s="32">
        <f>ET34+ET35</f>
        <v>739.97357999252995</v>
      </c>
      <c r="EU33" s="32">
        <f>EU34+EU35</f>
        <v>452.86117528518997</v>
      </c>
      <c r="EV33" s="32">
        <f>EV34+EV35</f>
        <v>1041.4849447820502</v>
      </c>
      <c r="EW33" s="32">
        <f>EW34+EW35</f>
        <v>2771.3814209876</v>
      </c>
      <c r="EX33" s="32">
        <f>EX34+EX35</f>
        <v>478.17210924612993</v>
      </c>
      <c r="EY33" s="32">
        <f>EY34+EY35</f>
        <v>210.12620747750003</v>
      </c>
      <c r="EZ33" s="32">
        <f>EZ34+EZ35</f>
        <v>627.62323413197998</v>
      </c>
      <c r="FA33" s="32">
        <f>FA34+FA35</f>
        <v>265.45831815061001</v>
      </c>
      <c r="FB33" s="32">
        <f>FB34+FB35</f>
        <v>994.02571180093003</v>
      </c>
      <c r="FC33" s="33">
        <f>+SUM(EQ33:FB33)</f>
        <v>10570.165256960419</v>
      </c>
      <c r="FD33" s="32">
        <f>FD34+FD35</f>
        <v>2700.8024710734398</v>
      </c>
      <c r="FE33" s="32">
        <f>FE34+FE35</f>
        <v>454.33814066504999</v>
      </c>
      <c r="FF33" s="32">
        <f>FF34+FF35</f>
        <v>193.64721677628003</v>
      </c>
      <c r="FG33" s="32">
        <f>FG34+FG35</f>
        <v>775.48057931623998</v>
      </c>
      <c r="FH33" s="32">
        <f>FH34+FH35</f>
        <v>281.75376560581003</v>
      </c>
      <c r="FI33" s="32">
        <f>FI34+FI35</f>
        <v>994.0904118517501</v>
      </c>
      <c r="FJ33" s="32">
        <f>FJ34+FJ35</f>
        <v>2717.3508069106902</v>
      </c>
      <c r="FK33" s="32">
        <f>FK34+FK35</f>
        <v>478.34940027745</v>
      </c>
      <c r="FL33" s="32">
        <f>FL34+FL35</f>
        <v>99.684675140670009</v>
      </c>
      <c r="FM33" s="32">
        <f>FM34+FM35</f>
        <v>3330.6933686376201</v>
      </c>
      <c r="FN33" s="32">
        <f>FN34+FN35</f>
        <v>4973.3855462113497</v>
      </c>
      <c r="FO33" s="32">
        <f>FO34+FO35</f>
        <v>1183.7086591512</v>
      </c>
      <c r="FP33" s="33">
        <f>+SUM(FD33:FO33)</f>
        <v>18183.285041617553</v>
      </c>
      <c r="FQ33" s="32">
        <f>FQ34+FQ35</f>
        <v>3290.0345131224799</v>
      </c>
      <c r="FR33" s="32">
        <f>FR34+FR35</f>
        <v>491.79144850678</v>
      </c>
      <c r="FS33" s="32">
        <f>FS34+FS35</f>
        <v>108.08640531152901</v>
      </c>
      <c r="FT33" s="32">
        <f>FT34+FT35</f>
        <v>915.08966588406997</v>
      </c>
      <c r="FU33" s="32">
        <f>FU34+FU35</f>
        <v>367.16260252801999</v>
      </c>
      <c r="FV33" s="32">
        <f>FV34+FV35</f>
        <v>1616.91632968728</v>
      </c>
      <c r="FW33" s="32">
        <f>FW34+FW35</f>
        <v>3758.5979483897599</v>
      </c>
      <c r="FX33" s="32">
        <f>FX34+FX35</f>
        <v>617.16024732315009</v>
      </c>
      <c r="FY33" s="32">
        <f>FY34+FY35</f>
        <v>116.06426539669</v>
      </c>
      <c r="FZ33" s="32">
        <f>FZ34+FZ35</f>
        <v>832.19137580050005</v>
      </c>
      <c r="GA33" s="32">
        <f>GA34+GA35</f>
        <v>574.93167874968003</v>
      </c>
      <c r="GB33" s="32">
        <f>GB34+GB35</f>
        <v>1621.27318170489</v>
      </c>
      <c r="GC33" s="33">
        <f>+SUM(FQ33:GB33)</f>
        <v>14309.29966240483</v>
      </c>
      <c r="GD33" s="32">
        <f>GD34+GD35</f>
        <v>18595.984279974917</v>
      </c>
      <c r="GE33" s="32">
        <f>GE34+GE35</f>
        <v>600.42662391384999</v>
      </c>
      <c r="GF33" s="32">
        <f>GF34+GF35</f>
        <v>122.31805362022</v>
      </c>
      <c r="GG33" s="32">
        <f>GG34+GG35</f>
        <v>7732.6706928679096</v>
      </c>
      <c r="GH33" s="32">
        <f>GH34+GH35</f>
        <v>320.97519837005001</v>
      </c>
      <c r="GI33" s="32">
        <f>GI34+GI35</f>
        <v>1903.39328339341</v>
      </c>
      <c r="GJ33" s="32">
        <f>GJ34+GJ35</f>
        <v>3699.4493437706997</v>
      </c>
      <c r="GK33" s="32">
        <f>GK34+GK35</f>
        <v>594.40210222636006</v>
      </c>
      <c r="GL33" s="32">
        <f>GL34+GL35</f>
        <v>165.54011678660999</v>
      </c>
      <c r="GM33" s="32">
        <f>GM34+GM35</f>
        <v>835.23844690195006</v>
      </c>
      <c r="GN33" s="32">
        <f>GN34+GN35</f>
        <v>505.42221140066999</v>
      </c>
      <c r="GO33" s="32">
        <f>GO34+GO35</f>
        <v>1701.9294306294</v>
      </c>
      <c r="GP33" s="33">
        <f>+SUM(GD33:GO33)</f>
        <v>36777.749783856052</v>
      </c>
      <c r="GQ33" s="32">
        <f>GQ34+GQ35</f>
        <v>5925.2899568187395</v>
      </c>
      <c r="GR33" s="32">
        <f>GR34+GR35</f>
        <v>571.41830415449999</v>
      </c>
      <c r="GS33" s="32">
        <f>GS34+GS35</f>
        <v>360.38916398216003</v>
      </c>
      <c r="GT33" s="32">
        <f>GT34+GT35</f>
        <v>715.75403701281994</v>
      </c>
      <c r="GU33" s="32">
        <f>GU34+GU35</f>
        <v>446.04523546733003</v>
      </c>
      <c r="GV33" s="32">
        <f>GV34+GV35</f>
        <v>1373.2717384658299</v>
      </c>
      <c r="GW33" s="32">
        <f>GW34+GW35</f>
        <v>3334.1523537284197</v>
      </c>
      <c r="GX33" s="32">
        <f>GX34+GX35</f>
        <v>574.13452890616998</v>
      </c>
      <c r="GY33" s="32">
        <f>GY34+GY35</f>
        <v>422.07994528416998</v>
      </c>
      <c r="GZ33" s="32">
        <f>GZ34+GZ35</f>
        <v>772.76276125000004</v>
      </c>
      <c r="HA33" s="32">
        <f>HA34+HA35</f>
        <v>494.00297964999999</v>
      </c>
      <c r="HB33" s="32">
        <f>HB34+HB35</f>
        <v>1353.78041224</v>
      </c>
      <c r="HC33" s="33">
        <f>+SUM(GQ33:HB33)</f>
        <v>16343.081416960138</v>
      </c>
      <c r="HD33" s="32">
        <f>HD34+HD35</f>
        <v>14833.93664794</v>
      </c>
      <c r="HE33" s="32">
        <f>HE34+HE35</f>
        <v>570.1386303999999</v>
      </c>
      <c r="HF33" s="32">
        <f>HF34+HF35</f>
        <v>671.76913100000002</v>
      </c>
      <c r="HG33" s="32">
        <f>HG34+HG35</f>
        <v>892.78213292999999</v>
      </c>
      <c r="HH33" s="32">
        <f>HH34+HH35</f>
        <v>501.69047866</v>
      </c>
      <c r="HI33" s="32">
        <f>HI34+HI35</f>
        <v>1280.14858731</v>
      </c>
      <c r="HJ33" s="32">
        <f>HJ34+HJ35</f>
        <v>2874.1573787699999</v>
      </c>
      <c r="HK33" s="32">
        <f>HK34+HK35</f>
        <v>545.33134451000001</v>
      </c>
      <c r="HL33" s="32">
        <f>HL34+HL35</f>
        <v>686.99224219000007</v>
      </c>
      <c r="HM33" s="32">
        <f>HM34+HM35</f>
        <v>1131.81723201</v>
      </c>
      <c r="HN33" s="32">
        <f>HN34+HN35</f>
        <v>646.67064323</v>
      </c>
      <c r="HO33" s="32">
        <f>HO34+HO35</f>
        <v>1179.16439709</v>
      </c>
      <c r="HP33" s="31">
        <f>+SUM(HD33:HO33)</f>
        <v>25814.598846039997</v>
      </c>
      <c r="HQ33" s="32">
        <f>HQ34+HQ35</f>
        <v>6283.6883205099994</v>
      </c>
      <c r="HR33" s="32">
        <f>HR34+HR35</f>
        <v>541.87324361000003</v>
      </c>
      <c r="HS33" s="32">
        <f>HS34+HS35</f>
        <v>1091.2635700400001</v>
      </c>
      <c r="HT33" s="32">
        <f>HT34+HT35</f>
        <v>6911.2457326900003</v>
      </c>
      <c r="HU33" s="32">
        <f>HU34+HU35</f>
        <v>775.32024387999991</v>
      </c>
      <c r="HV33" s="32">
        <f>HV34+HV35</f>
        <v>1444.7676980400001</v>
      </c>
      <c r="HW33" s="32">
        <f>HW34+HW35</f>
        <v>3108.5015953900006</v>
      </c>
      <c r="HX33" s="32">
        <f>HX34+HX35</f>
        <v>607.94410271000004</v>
      </c>
      <c r="HY33" s="32">
        <f>HY34+HY35</f>
        <v>1921.7581671100002</v>
      </c>
      <c r="HZ33" s="32">
        <f>HZ34+HZ35</f>
        <v>982.71673068000007</v>
      </c>
      <c r="IA33" s="32">
        <f>IA34+IA35</f>
        <v>798.63897580000003</v>
      </c>
      <c r="IB33" s="32">
        <f>IB34+IB35</f>
        <v>1678.1002514500001</v>
      </c>
      <c r="IC33" s="31">
        <f>+SUM(HQ33:IB33)</f>
        <v>26145.818631910002</v>
      </c>
      <c r="ID33" s="32">
        <f>ID34+ID35</f>
        <v>29917.248398470001</v>
      </c>
      <c r="IE33" s="32">
        <f>IE34+IE35</f>
        <v>4746.2213087600003</v>
      </c>
      <c r="IF33" s="32">
        <f>IF34+IF35</f>
        <v>1763.7575186600002</v>
      </c>
      <c r="IG33" s="32">
        <f>IG34+IG35</f>
        <v>1602.2637814700001</v>
      </c>
      <c r="IH33" s="32">
        <f>IH34+IH35</f>
        <v>1019.32455161</v>
      </c>
      <c r="II33" s="32">
        <f>II34+II35</f>
        <v>11216.1364775</v>
      </c>
      <c r="IJ33" s="32">
        <f>IJ34+IJ35</f>
        <v>2952.6833618999999</v>
      </c>
      <c r="IK33" s="32">
        <f>IK34+IK35</f>
        <v>435.92788813000004</v>
      </c>
      <c r="IL33" s="32">
        <f>IL34+IL35</f>
        <v>10722.2547357</v>
      </c>
      <c r="IM33" s="32">
        <f>IM34+IM35</f>
        <v>1516.2992977499998</v>
      </c>
      <c r="IN33" s="32">
        <f>IN34+IN35</f>
        <v>1030.3828720199999</v>
      </c>
      <c r="IO33" s="32">
        <f>IO34+IO35</f>
        <v>1339.7951892199999</v>
      </c>
      <c r="IP33" s="31">
        <f>+SUM(ID33:IO33)</f>
        <v>68262.295381189993</v>
      </c>
      <c r="IQ33" s="32">
        <f>IQ34+IQ35</f>
        <v>3042.0694174199994</v>
      </c>
      <c r="IR33" s="32">
        <f>IR34+IR35</f>
        <v>594.9914302599999</v>
      </c>
      <c r="IS33" s="32">
        <f>IS34+IS35</f>
        <v>3077.0961413699997</v>
      </c>
      <c r="IT33" s="32">
        <f>IT34+IT35</f>
        <v>12952.778947280001</v>
      </c>
      <c r="IU33" s="32">
        <f>IU34+IU35</f>
        <v>1191.82312914</v>
      </c>
      <c r="IV33" s="32">
        <f>IV34+IV35</f>
        <v>1197.70499402</v>
      </c>
      <c r="IW33" s="32">
        <f>IW34+IW35</f>
        <v>3235.69818037</v>
      </c>
      <c r="IX33" s="32">
        <f>IX34+IX35</f>
        <v>662.6540933</v>
      </c>
      <c r="IY33" s="31">
        <f>+SUM(IQ33:IX33)</f>
        <v>25954.816333160004</v>
      </c>
    </row>
    <row r="34" spans="1:259" s="11" customFormat="1" ht="20.100000000000001" customHeight="1" x14ac:dyDescent="0.25">
      <c r="A34" s="25" t="s">
        <v>9</v>
      </c>
      <c r="B34" s="27">
        <v>4578.0262015399994</v>
      </c>
      <c r="C34" s="27">
        <v>216.22001499999999</v>
      </c>
      <c r="D34" s="27">
        <v>3777.0384106199999</v>
      </c>
      <c r="E34" s="27">
        <v>2555.3025167800001</v>
      </c>
      <c r="F34" s="27">
        <v>2011.1511610099999</v>
      </c>
      <c r="G34" s="27">
        <v>1922.4916953100001</v>
      </c>
      <c r="H34" s="27">
        <v>5059.5631699799997</v>
      </c>
      <c r="I34" s="27">
        <v>242.94076010000001</v>
      </c>
      <c r="J34" s="27">
        <v>7211.2879901199994</v>
      </c>
      <c r="K34" s="27">
        <v>704.20800142999997</v>
      </c>
      <c r="L34" s="27">
        <v>2728.8779164999996</v>
      </c>
      <c r="M34" s="27">
        <v>2362.5849225900006</v>
      </c>
      <c r="N34" s="27">
        <v>1373.55088796</v>
      </c>
      <c r="O34" s="27">
        <v>1415.8259904199999</v>
      </c>
      <c r="P34" s="28">
        <f>SUM(D34:O34)</f>
        <v>31364.823422820002</v>
      </c>
      <c r="Q34" s="27">
        <v>1774.4201713399998</v>
      </c>
      <c r="R34" s="27">
        <v>862.79357378999998</v>
      </c>
      <c r="S34" s="27">
        <v>2227.0212996197351</v>
      </c>
      <c r="T34" s="27">
        <v>3203.8381879099998</v>
      </c>
      <c r="U34" s="27">
        <v>596.44991113999993</v>
      </c>
      <c r="V34" s="27">
        <v>215.90012461000001</v>
      </c>
      <c r="W34" s="27">
        <v>1863.25933216</v>
      </c>
      <c r="X34" s="27">
        <v>540.50468278000005</v>
      </c>
      <c r="Y34" s="27">
        <v>863.00042238999993</v>
      </c>
      <c r="Z34" s="27">
        <v>644.55174306999993</v>
      </c>
      <c r="AA34" s="27">
        <v>759.80519748999995</v>
      </c>
      <c r="AB34" s="27">
        <v>138.3605287</v>
      </c>
      <c r="AC34" s="28">
        <f>SUM(Q34:AB34)</f>
        <v>13689.905174999731</v>
      </c>
      <c r="AD34" s="27">
        <v>2297.6272703999998</v>
      </c>
      <c r="AE34" s="27">
        <v>1039.12281962</v>
      </c>
      <c r="AF34" s="27">
        <v>898.58250797000005</v>
      </c>
      <c r="AG34" s="27">
        <v>1550.3061498900001</v>
      </c>
      <c r="AH34" s="27">
        <v>542.74815247000004</v>
      </c>
      <c r="AI34" s="27">
        <v>725.11780919</v>
      </c>
      <c r="AJ34" s="27">
        <v>2339.1280212800002</v>
      </c>
      <c r="AK34" s="27">
        <v>638.51881779000007</v>
      </c>
      <c r="AL34" s="27">
        <v>1075.4743574299998</v>
      </c>
      <c r="AM34" s="27">
        <v>2906.5283801</v>
      </c>
      <c r="AN34" s="27">
        <v>743.69307506000007</v>
      </c>
      <c r="AO34" s="27">
        <v>1964.3938478233331</v>
      </c>
      <c r="AP34" s="28">
        <f>SUM(AD34:AO34)</f>
        <v>16721.241209023334</v>
      </c>
      <c r="AQ34" s="27">
        <v>2194.78592303</v>
      </c>
      <c r="AR34" s="27">
        <v>2035.6840611600003</v>
      </c>
      <c r="AS34" s="27">
        <v>2014.2253358100002</v>
      </c>
      <c r="AT34" s="27">
        <v>1242.7951828500002</v>
      </c>
      <c r="AU34" s="27">
        <v>1189.59026827</v>
      </c>
      <c r="AV34" s="27">
        <v>194.26926123999999</v>
      </c>
      <c r="AW34" s="27">
        <v>2834.1072483400003</v>
      </c>
      <c r="AX34" s="27">
        <v>496.13543900999997</v>
      </c>
      <c r="AY34" s="27">
        <v>975.71266826999999</v>
      </c>
      <c r="AZ34" s="27">
        <v>1761.5397806699998</v>
      </c>
      <c r="BA34" s="27">
        <v>1670.3512288399997</v>
      </c>
      <c r="BB34" s="27">
        <v>2315.5558866000001</v>
      </c>
      <c r="BC34" s="28">
        <f>SUM(AQ34:BB34)</f>
        <v>18924.752284090002</v>
      </c>
      <c r="BD34" s="27">
        <v>4062.5238184200002</v>
      </c>
      <c r="BE34" s="27">
        <v>512.46149079999998</v>
      </c>
      <c r="BF34" s="27">
        <v>1706.7378128163014</v>
      </c>
      <c r="BG34" s="27">
        <v>278.70177000000001</v>
      </c>
      <c r="BH34" s="27">
        <v>1176.1196265599999</v>
      </c>
      <c r="BI34" s="27">
        <v>148.95063672000001</v>
      </c>
      <c r="BJ34" s="27">
        <v>2827.4885307399995</v>
      </c>
      <c r="BK34" s="27">
        <v>1116.20780216</v>
      </c>
      <c r="BL34" s="27">
        <v>1498.7084409399999</v>
      </c>
      <c r="BM34" s="27">
        <v>273.11143038</v>
      </c>
      <c r="BN34" s="27">
        <v>337.22519608999994</v>
      </c>
      <c r="BO34" s="27">
        <v>68.987656980000011</v>
      </c>
      <c r="BP34" s="28">
        <f>SUM(BD34:BO34)</f>
        <v>14007.224212606299</v>
      </c>
      <c r="BQ34" s="27">
        <v>3252.51790476</v>
      </c>
      <c r="BR34" s="27">
        <v>370.14578534000003</v>
      </c>
      <c r="BS34" s="27">
        <v>542.9284084599999</v>
      </c>
      <c r="BT34" s="27">
        <v>319.56847367</v>
      </c>
      <c r="BU34" s="27">
        <v>2434.7816064631843</v>
      </c>
      <c r="BV34" s="27">
        <v>181.32175095000002</v>
      </c>
      <c r="BW34" s="27">
        <v>2178.1597943299998</v>
      </c>
      <c r="BX34" s="27">
        <v>312.73575141000003</v>
      </c>
      <c r="BY34" s="27">
        <v>2705.2397431214499</v>
      </c>
      <c r="BZ34" s="27">
        <v>316.49926378999999</v>
      </c>
      <c r="CA34" s="27">
        <v>430.58159711004498</v>
      </c>
      <c r="CB34" s="27">
        <v>238.13479455000001</v>
      </c>
      <c r="CC34" s="28">
        <f>SUM(BQ34:CB34)</f>
        <v>13282.614873954681</v>
      </c>
      <c r="CD34" s="27">
        <v>2023.92895851</v>
      </c>
      <c r="CE34" s="27">
        <v>395.47610049999997</v>
      </c>
      <c r="CF34" s="27">
        <v>645.41027083000006</v>
      </c>
      <c r="CG34" s="27">
        <v>531.80131452800003</v>
      </c>
      <c r="CH34" s="27">
        <v>386.64423977925901</v>
      </c>
      <c r="CI34" s="27">
        <v>1708.08245167525</v>
      </c>
      <c r="CJ34" s="27">
        <v>2203.8918042767018</v>
      </c>
      <c r="CK34" s="27">
        <v>317.40234728000001</v>
      </c>
      <c r="CL34" s="27">
        <v>325.14871579999999</v>
      </c>
      <c r="CM34" s="27">
        <v>3368.87633357</v>
      </c>
      <c r="CN34" s="27">
        <v>5177.4661338300002</v>
      </c>
      <c r="CO34" s="27">
        <v>5047.0577231000007</v>
      </c>
      <c r="CP34" s="28">
        <f>+SUM(CD34:CO34)</f>
        <v>22131.186393679214</v>
      </c>
      <c r="CQ34" s="27">
        <v>2206.7771781800002</v>
      </c>
      <c r="CR34" s="27">
        <v>1898.7274781699998</v>
      </c>
      <c r="CS34" s="27">
        <v>158.96314397</v>
      </c>
      <c r="CT34" s="27">
        <v>202.33545052000002</v>
      </c>
      <c r="CU34" s="27">
        <v>286.60378027999997</v>
      </c>
      <c r="CV34" s="27">
        <v>131.90801274</v>
      </c>
      <c r="CW34" s="27">
        <v>3079.4427221699998</v>
      </c>
      <c r="CX34" s="27">
        <v>4956.4372733299997</v>
      </c>
      <c r="CY34" s="27">
        <v>292.07261938999994</v>
      </c>
      <c r="CZ34" s="27">
        <v>242.33092483999999</v>
      </c>
      <c r="DA34" s="27">
        <v>444.29919152000002</v>
      </c>
      <c r="DB34" s="27">
        <v>0</v>
      </c>
      <c r="DC34" s="28">
        <f>+SUM(CQ34:DB34)</f>
        <v>13899.897775109999</v>
      </c>
      <c r="DD34" s="27">
        <v>2685.2262138399997</v>
      </c>
      <c r="DE34" s="27">
        <v>1985.7935388199999</v>
      </c>
      <c r="DF34" s="27">
        <v>3393.5208210700002</v>
      </c>
      <c r="DG34" s="27">
        <v>452.61135661999992</v>
      </c>
      <c r="DH34" s="27">
        <v>353.87428978000003</v>
      </c>
      <c r="DI34" s="27">
        <v>187.46098691999998</v>
      </c>
      <c r="DJ34" s="27">
        <v>2959.3208961700002</v>
      </c>
      <c r="DK34" s="27">
        <v>4476.6879684300002</v>
      </c>
      <c r="DL34" s="27">
        <v>208.03025412000002</v>
      </c>
      <c r="DM34" s="27">
        <v>406.1727889</v>
      </c>
      <c r="DN34" s="27">
        <v>611.25399406999998</v>
      </c>
      <c r="DO34" s="27">
        <v>512.24334166000006</v>
      </c>
      <c r="DP34" s="28">
        <f>+SUM(DD34:DO34)</f>
        <v>18232.196450399999</v>
      </c>
      <c r="DQ34" s="27">
        <v>6300.8296348599997</v>
      </c>
      <c r="DR34" s="27">
        <v>314.77645591999999</v>
      </c>
      <c r="DS34" s="27">
        <v>772.32875917999991</v>
      </c>
      <c r="DT34" s="27">
        <v>618.26382676000003</v>
      </c>
      <c r="DU34" s="27">
        <v>253.54568405000001</v>
      </c>
      <c r="DV34" s="27">
        <v>333.16292977000001</v>
      </c>
      <c r="DW34" s="27">
        <v>2684.0333557899999</v>
      </c>
      <c r="DX34" s="27">
        <v>130.74858678000001</v>
      </c>
      <c r="DY34" s="27">
        <v>83.976113409999996</v>
      </c>
      <c r="DZ34" s="27">
        <v>438.51333308</v>
      </c>
      <c r="EA34" s="27">
        <v>308.34105739</v>
      </c>
      <c r="EB34" s="27">
        <v>198.3564251</v>
      </c>
      <c r="EC34" s="28">
        <f>+SUM(DQ34:EB34)</f>
        <v>12436.87616209</v>
      </c>
      <c r="ED34" s="27">
        <v>8897.7068448499995</v>
      </c>
      <c r="EE34" s="27">
        <v>274.27101418000001</v>
      </c>
      <c r="EF34" s="27">
        <v>505.30849632999997</v>
      </c>
      <c r="EG34" s="27">
        <v>836.02649681000003</v>
      </c>
      <c r="EH34" s="27">
        <v>925.40455779000001</v>
      </c>
      <c r="EI34" s="27">
        <v>1625.8131508700001</v>
      </c>
      <c r="EJ34" s="27">
        <v>2440.9725323800003</v>
      </c>
      <c r="EK34" s="27">
        <v>276.03810332</v>
      </c>
      <c r="EL34" s="27">
        <v>69.891942729999997</v>
      </c>
      <c r="EM34" s="27">
        <v>7128.7599130599992</v>
      </c>
      <c r="EN34" s="27">
        <v>6154.1139197800003</v>
      </c>
      <c r="EO34" s="27">
        <v>0</v>
      </c>
      <c r="EP34" s="28">
        <f>+SUM(ED34:EO34)</f>
        <v>29134.306972099999</v>
      </c>
      <c r="EQ34" s="27">
        <v>2255.5060991400001</v>
      </c>
      <c r="ER34" s="27">
        <v>371.21160526</v>
      </c>
      <c r="ES34" s="27">
        <v>134.63997635999999</v>
      </c>
      <c r="ET34" s="27">
        <v>666.92860734999999</v>
      </c>
      <c r="EU34" s="27">
        <v>348.00707516</v>
      </c>
      <c r="EV34" s="27">
        <v>89.159514909999999</v>
      </c>
      <c r="EW34" s="27">
        <v>2582.8120058099998</v>
      </c>
      <c r="EX34" s="27">
        <v>448.43616111999995</v>
      </c>
      <c r="EY34" s="27">
        <v>163.18320471000001</v>
      </c>
      <c r="EZ34" s="27">
        <v>544.1200662</v>
      </c>
      <c r="FA34" s="27">
        <v>158.13142547999999</v>
      </c>
      <c r="FB34" s="27">
        <v>0</v>
      </c>
      <c r="FC34" s="28">
        <f>+SUM(EQ34:FB34)</f>
        <v>7762.1357414999993</v>
      </c>
      <c r="FD34" s="27">
        <v>2529.9229612599997</v>
      </c>
      <c r="FE34" s="27">
        <v>427.87569480000002</v>
      </c>
      <c r="FF34" s="27">
        <v>152.54748124000002</v>
      </c>
      <c r="FG34" s="27">
        <v>678.10046819000002</v>
      </c>
      <c r="FH34" s="27">
        <v>166.91696797</v>
      </c>
      <c r="FI34" s="30">
        <v>0</v>
      </c>
      <c r="FJ34" s="27">
        <v>2548.4173822500002</v>
      </c>
      <c r="FK34" s="27">
        <v>456.28158109999998</v>
      </c>
      <c r="FL34" s="27">
        <v>59.833680110000003</v>
      </c>
      <c r="FM34" s="27">
        <v>3224.73479997</v>
      </c>
      <c r="FN34" s="27">
        <v>4857.4243253699997</v>
      </c>
      <c r="FO34" s="27">
        <v>255.67904999999999</v>
      </c>
      <c r="FP34" s="28">
        <f>+SUM(FD34:FO34)</f>
        <v>15357.734392259999</v>
      </c>
      <c r="FQ34" s="27">
        <v>3116.44252211</v>
      </c>
      <c r="FR34" s="27">
        <v>472.18769407000002</v>
      </c>
      <c r="FS34" s="27">
        <v>67.609506199999998</v>
      </c>
      <c r="FT34" s="27">
        <v>765.71397829</v>
      </c>
      <c r="FU34" s="27">
        <v>225.51677910000001</v>
      </c>
      <c r="FV34" s="27">
        <v>388.98733500000003</v>
      </c>
      <c r="FW34" s="27">
        <v>3561.2753157299999</v>
      </c>
      <c r="FX34" s="27">
        <v>600.38905594000005</v>
      </c>
      <c r="FY34" s="27">
        <v>76.907104840000002</v>
      </c>
      <c r="FZ34" s="27">
        <v>643.55225525000003</v>
      </c>
      <c r="GA34" s="27">
        <v>452.37214392999999</v>
      </c>
      <c r="GB34" s="27">
        <v>438.41232184</v>
      </c>
      <c r="GC34" s="28">
        <f>+SUM(FQ34:GB34)</f>
        <v>10809.366012300003</v>
      </c>
      <c r="GD34" s="27">
        <v>18407.537950679998</v>
      </c>
      <c r="GE34" s="27">
        <v>585.35008487999994</v>
      </c>
      <c r="GF34" s="27">
        <v>82.76012437</v>
      </c>
      <c r="GG34" s="27">
        <v>7528.6900270199994</v>
      </c>
      <c r="GH34" s="27">
        <v>204.31636609</v>
      </c>
      <c r="GI34" s="27">
        <v>706.95084374999999</v>
      </c>
      <c r="GJ34" s="27">
        <v>3521.5476973499999</v>
      </c>
      <c r="GK34" s="27">
        <v>582.61904399000002</v>
      </c>
      <c r="GL34" s="27">
        <v>75.342710019999998</v>
      </c>
      <c r="GM34" s="27">
        <v>629.59980747000009</v>
      </c>
      <c r="GN34" s="27">
        <v>462.80437547999998</v>
      </c>
      <c r="GO34" s="27">
        <v>522.36329687</v>
      </c>
      <c r="GP34" s="28">
        <f>+SUM(GD34:GO34)</f>
        <v>33309.882327969994</v>
      </c>
      <c r="GQ34" s="27">
        <v>5740.1400038599995</v>
      </c>
      <c r="GR34" s="27">
        <v>560.50297036999996</v>
      </c>
      <c r="GS34" s="27">
        <v>266.24804961000001</v>
      </c>
      <c r="GT34" s="27">
        <v>542.84818715999995</v>
      </c>
      <c r="GU34" s="27">
        <v>410.28184548000002</v>
      </c>
      <c r="GV34" s="27">
        <v>458.29535937000003</v>
      </c>
      <c r="GW34" s="27">
        <v>3308.8201442499999</v>
      </c>
      <c r="GX34" s="27">
        <v>565.43102729999998</v>
      </c>
      <c r="GY34" s="27">
        <v>219.95703672000002</v>
      </c>
      <c r="GZ34" s="27">
        <v>602.20350804000009</v>
      </c>
      <c r="HA34" s="27">
        <v>443.55008176000001</v>
      </c>
      <c r="HB34" s="27">
        <v>491.66250000000002</v>
      </c>
      <c r="HC34" s="28">
        <f>+SUM(GQ34:HB34)</f>
        <v>13609.940713919999</v>
      </c>
      <c r="HD34" s="27">
        <v>14815.00307382</v>
      </c>
      <c r="HE34" s="27">
        <v>561.67911944999992</v>
      </c>
      <c r="HF34" s="27">
        <v>221.37876946999998</v>
      </c>
      <c r="HG34" s="27">
        <v>703.00823861000003</v>
      </c>
      <c r="HH34" s="27">
        <v>417.84092960999999</v>
      </c>
      <c r="HI34" s="27">
        <v>455.14218749999998</v>
      </c>
      <c r="HJ34" s="27">
        <v>2856.2921611500001</v>
      </c>
      <c r="HK34" s="27">
        <v>537.40536359999999</v>
      </c>
      <c r="HL34" s="27">
        <v>211.64901276000001</v>
      </c>
      <c r="HM34" s="27">
        <v>943.67668415000003</v>
      </c>
      <c r="HN34" s="27">
        <v>550.23785052999995</v>
      </c>
      <c r="HO34" s="27">
        <v>458.85273437000001</v>
      </c>
      <c r="HP34" s="26">
        <f>+SUM(HD34:HO34)</f>
        <v>22732.166125020001</v>
      </c>
      <c r="HQ34" s="27">
        <v>6265.6824500699995</v>
      </c>
      <c r="HR34" s="27">
        <v>535.73306366999998</v>
      </c>
      <c r="HS34" s="27">
        <v>417.35471694</v>
      </c>
      <c r="HT34" s="27">
        <v>6706.1240037699999</v>
      </c>
      <c r="HU34" s="27">
        <v>671.13344588999996</v>
      </c>
      <c r="HV34" s="27">
        <v>662.07066437000003</v>
      </c>
      <c r="HW34" s="27">
        <v>3089.0325043600005</v>
      </c>
      <c r="HX34" s="27">
        <v>601.89831606000007</v>
      </c>
      <c r="HY34" s="27">
        <v>1064.45136286</v>
      </c>
      <c r="HZ34" s="27">
        <v>739.17467811000006</v>
      </c>
      <c r="IA34" s="27">
        <v>686.79025716000001</v>
      </c>
      <c r="IB34" s="27">
        <v>826.94257812000001</v>
      </c>
      <c r="IC34" s="26">
        <f>+SUM(HQ34:IB34)</f>
        <v>22266.38804138</v>
      </c>
      <c r="ID34" s="27">
        <v>29896.487877400003</v>
      </c>
      <c r="IE34" s="27">
        <v>4739.9711233900007</v>
      </c>
      <c r="IF34" s="27">
        <v>998.51747160000002</v>
      </c>
      <c r="IG34" s="27">
        <v>779.66558058999999</v>
      </c>
      <c r="IH34" s="27">
        <v>926.02093493999996</v>
      </c>
      <c r="II34" s="27">
        <v>10428.51864187</v>
      </c>
      <c r="IJ34" s="27">
        <v>2934.3002264500001</v>
      </c>
      <c r="IK34" s="27">
        <v>430.12545439000002</v>
      </c>
      <c r="IL34" s="27">
        <v>9917.0001199300004</v>
      </c>
      <c r="IM34" s="27">
        <v>711.34713579999993</v>
      </c>
      <c r="IN34" s="27">
        <v>947.10961301999998</v>
      </c>
      <c r="IO34" s="27">
        <v>606.28309375000003</v>
      </c>
      <c r="IP34" s="29">
        <f>+SUM(ID34:IO34)</f>
        <v>63315.347273130013</v>
      </c>
      <c r="IQ34" s="27">
        <v>3030.4730278999996</v>
      </c>
      <c r="IR34" s="27">
        <v>589.44465506999995</v>
      </c>
      <c r="IS34" s="27">
        <v>1694.27380924</v>
      </c>
      <c r="IT34" s="27">
        <v>12168.842292720001</v>
      </c>
      <c r="IU34" s="27">
        <v>1117.0669592100001</v>
      </c>
      <c r="IV34" s="27">
        <v>571.03409375000001</v>
      </c>
      <c r="IW34" s="27">
        <v>3235.69818037</v>
      </c>
      <c r="IX34" s="27">
        <v>657.19195682999998</v>
      </c>
      <c r="IY34" s="29">
        <f>+SUM(IQ34:IX34)</f>
        <v>23064.02497509</v>
      </c>
    </row>
    <row r="35" spans="1:259" s="11" customFormat="1" ht="20.100000000000001" customHeight="1" x14ac:dyDescent="0.25">
      <c r="A35" s="25" t="s">
        <v>8</v>
      </c>
      <c r="B35" s="27">
        <v>309.63676293999998</v>
      </c>
      <c r="C35" s="27">
        <v>276.29915700000004</v>
      </c>
      <c r="D35" s="27">
        <v>175.90199999999999</v>
      </c>
      <c r="E35" s="27">
        <v>289.04138333999998</v>
      </c>
      <c r="F35" s="27">
        <v>731.78990180000005</v>
      </c>
      <c r="G35" s="27">
        <v>666.07873015000007</v>
      </c>
      <c r="H35" s="27">
        <v>287.90169856</v>
      </c>
      <c r="I35" s="27">
        <v>270.21404555999993</v>
      </c>
      <c r="J35" s="27">
        <v>156.04872835</v>
      </c>
      <c r="K35" s="27">
        <v>270.93985075999996</v>
      </c>
      <c r="L35" s="27">
        <v>326.41476921999998</v>
      </c>
      <c r="M35" s="27">
        <v>440.16624713000004</v>
      </c>
      <c r="N35" s="27">
        <v>297.44435148999997</v>
      </c>
      <c r="O35" s="27">
        <v>236.74764512000002</v>
      </c>
      <c r="P35" s="28">
        <f>SUM(D35:O35)</f>
        <v>4148.6893514800004</v>
      </c>
      <c r="Q35" s="27">
        <v>152.76627107000002</v>
      </c>
      <c r="R35" s="27">
        <v>235.83841231</v>
      </c>
      <c r="S35" s="27">
        <v>290.97484107999992</v>
      </c>
      <c r="T35" s="27">
        <v>330.75801027999995</v>
      </c>
      <c r="U35" s="27">
        <v>343.89525158000004</v>
      </c>
      <c r="V35" s="27">
        <v>268.85107172000005</v>
      </c>
      <c r="W35" s="27">
        <v>117.53649915999999</v>
      </c>
      <c r="X35" s="27">
        <v>114.60994030000002</v>
      </c>
      <c r="Y35" s="27">
        <v>386.78124766999997</v>
      </c>
      <c r="Z35" s="27">
        <v>406.75810284999989</v>
      </c>
      <c r="AA35" s="27">
        <v>419.82182092999994</v>
      </c>
      <c r="AB35" s="27">
        <v>420.3198135400001</v>
      </c>
      <c r="AC35" s="28">
        <f>SUM(Q35:AB35)</f>
        <v>3488.9112824899998</v>
      </c>
      <c r="AD35" s="27">
        <v>187.53636643999997</v>
      </c>
      <c r="AE35" s="27">
        <v>133.72244649000001</v>
      </c>
      <c r="AF35" s="27">
        <v>549.53343862999998</v>
      </c>
      <c r="AG35" s="27">
        <v>479.21689688000004</v>
      </c>
      <c r="AH35" s="27">
        <v>484.8037432299999</v>
      </c>
      <c r="AI35" s="27">
        <v>360.58811111000006</v>
      </c>
      <c r="AJ35" s="27">
        <v>171.48938643999992</v>
      </c>
      <c r="AK35" s="27">
        <v>100.13067475000003</v>
      </c>
      <c r="AL35" s="27">
        <v>443.63040091999989</v>
      </c>
      <c r="AM35" s="27">
        <v>466.9014549900001</v>
      </c>
      <c r="AN35" s="27">
        <v>467.56834054999979</v>
      </c>
      <c r="AO35" s="27">
        <v>2109.3687565400005</v>
      </c>
      <c r="AP35" s="28">
        <f>SUM(AD35:AO35)</f>
        <v>5954.4900169700004</v>
      </c>
      <c r="AQ35" s="27">
        <v>148.56628825000007</v>
      </c>
      <c r="AR35" s="27">
        <v>86.32383025999998</v>
      </c>
      <c r="AS35" s="27">
        <v>364.96779908000008</v>
      </c>
      <c r="AT35" s="27">
        <v>413.04582216999984</v>
      </c>
      <c r="AU35" s="27">
        <v>306.84965800999993</v>
      </c>
      <c r="AV35" s="27">
        <v>325.47238937999987</v>
      </c>
      <c r="AW35" s="27">
        <v>210.26956228</v>
      </c>
      <c r="AX35" s="27">
        <v>80.882835220000004</v>
      </c>
      <c r="AY35" s="27">
        <v>321.7438998400001</v>
      </c>
      <c r="AZ35" s="27">
        <v>359.63138264999998</v>
      </c>
      <c r="BA35" s="27">
        <v>290.53684857999974</v>
      </c>
      <c r="BB35" s="27">
        <v>359.60559176999988</v>
      </c>
      <c r="BC35" s="28">
        <f>SUM(AQ35:BB35)</f>
        <v>3267.8959074899999</v>
      </c>
      <c r="BD35" s="27">
        <v>172.55880401999997</v>
      </c>
      <c r="BE35" s="27">
        <v>263.92611796000006</v>
      </c>
      <c r="BF35" s="27">
        <v>312.90191980999998</v>
      </c>
      <c r="BG35" s="27">
        <v>347.62767291</v>
      </c>
      <c r="BH35" s="27">
        <v>296.19576246999992</v>
      </c>
      <c r="BI35" s="27">
        <v>5630.1587264300006</v>
      </c>
      <c r="BJ35" s="27">
        <v>113.26260847</v>
      </c>
      <c r="BK35" s="27">
        <v>41.904484929999995</v>
      </c>
      <c r="BL35" s="27">
        <v>178.70749973000005</v>
      </c>
      <c r="BM35" s="27">
        <v>4914.5715615899981</v>
      </c>
      <c r="BN35" s="27">
        <v>121.18757139999997</v>
      </c>
      <c r="BO35" s="27">
        <v>439.34771090999999</v>
      </c>
      <c r="BP35" s="28">
        <f>SUM(BD35:BO35)</f>
        <v>12832.350440629998</v>
      </c>
      <c r="BQ35" s="27">
        <v>46.368756119999993</v>
      </c>
      <c r="BR35" s="27">
        <v>43.067896820000001</v>
      </c>
      <c r="BS35" s="27">
        <v>162.36266417000002</v>
      </c>
      <c r="BT35" s="27">
        <v>284.85443918999999</v>
      </c>
      <c r="BU35" s="27">
        <v>110.14770157000001</v>
      </c>
      <c r="BV35" s="27">
        <v>527.67110300000013</v>
      </c>
      <c r="BW35" s="27">
        <v>61.36459395</v>
      </c>
      <c r="BX35" s="27">
        <v>48.254564630000004</v>
      </c>
      <c r="BY35" s="27">
        <v>178.75092698</v>
      </c>
      <c r="BZ35" s="27">
        <v>303.28209576</v>
      </c>
      <c r="CA35" s="27">
        <v>149.41051425000001</v>
      </c>
      <c r="CB35" s="27">
        <v>553.53360788000009</v>
      </c>
      <c r="CC35" s="28">
        <f>SUM(BQ35:CB35)</f>
        <v>2469.0688643200001</v>
      </c>
      <c r="CD35" s="27">
        <v>67.251057729999985</v>
      </c>
      <c r="CE35" s="27">
        <v>45.902445059999991</v>
      </c>
      <c r="CF35" s="27">
        <v>168.52646312000002</v>
      </c>
      <c r="CG35" s="27">
        <v>290.37081408</v>
      </c>
      <c r="CH35" s="27">
        <v>737.06850562</v>
      </c>
      <c r="CI35" s="27">
        <v>5590.1878582599993</v>
      </c>
      <c r="CJ35" s="27">
        <v>68.29320444999999</v>
      </c>
      <c r="CK35" s="27">
        <v>36.80747298</v>
      </c>
      <c r="CL35" s="27">
        <v>45.146230930000002</v>
      </c>
      <c r="CM35" s="27">
        <v>171.63787072</v>
      </c>
      <c r="CN35" s="27">
        <v>96.597699950000006</v>
      </c>
      <c r="CO35" s="27">
        <v>646.90603310000006</v>
      </c>
      <c r="CP35" s="28">
        <f>+SUM(CD35:CO35)</f>
        <v>7964.6956559999999</v>
      </c>
      <c r="CQ35" s="27">
        <v>70.450694530000007</v>
      </c>
      <c r="CR35" s="27">
        <v>35.892218150000005</v>
      </c>
      <c r="CS35" s="27">
        <v>45.651388010000005</v>
      </c>
      <c r="CT35" s="27">
        <v>169.42585262000003</v>
      </c>
      <c r="CU35" s="27">
        <v>109.08361841000001</v>
      </c>
      <c r="CV35" s="27">
        <v>718.25703057999988</v>
      </c>
      <c r="CW35" s="27">
        <v>65.869768640000004</v>
      </c>
      <c r="CX35" s="27">
        <v>33.026259279999998</v>
      </c>
      <c r="CY35" s="27">
        <v>43.774838669999994</v>
      </c>
      <c r="CZ35" s="27">
        <v>178.53325842999996</v>
      </c>
      <c r="DA35" s="27">
        <v>78.370926740000002</v>
      </c>
      <c r="DB35" s="27">
        <v>865.21547837999992</v>
      </c>
      <c r="DC35" s="28">
        <f>+SUM(CQ35:DB35)</f>
        <v>2413.5513324399999</v>
      </c>
      <c r="DD35" s="27">
        <v>77.160485490000013</v>
      </c>
      <c r="DE35" s="27">
        <v>39.483985130000001</v>
      </c>
      <c r="DF35" s="27">
        <v>55.842859650000008</v>
      </c>
      <c r="DG35" s="27">
        <v>216.21709370000002</v>
      </c>
      <c r="DH35" s="27">
        <v>88.360074910000009</v>
      </c>
      <c r="DI35" s="27">
        <v>985.46516870000005</v>
      </c>
      <c r="DJ35" s="27">
        <v>178.97633597000004</v>
      </c>
      <c r="DK35" s="27">
        <v>47.405943399999998</v>
      </c>
      <c r="DL35" s="27">
        <v>66.132663609999994</v>
      </c>
      <c r="DM35" s="27">
        <v>24.110822330000001</v>
      </c>
      <c r="DN35" s="27">
        <v>126.36371263999999</v>
      </c>
      <c r="DO35" s="27">
        <v>1224.47269265</v>
      </c>
      <c r="DP35" s="28">
        <f>+SUM(DD35:DO35)</f>
        <v>3129.9918381799998</v>
      </c>
      <c r="DQ35" s="27">
        <v>222.81292467000006</v>
      </c>
      <c r="DR35" s="27">
        <v>51.306769410000008</v>
      </c>
      <c r="DS35" s="27">
        <v>65.069840621409995</v>
      </c>
      <c r="DT35" s="27">
        <v>32.284891697749998</v>
      </c>
      <c r="DU35" s="27">
        <v>120.27593489627</v>
      </c>
      <c r="DV35" s="27">
        <v>1073.72968120786</v>
      </c>
      <c r="DW35" s="27">
        <v>182.67983601016002</v>
      </c>
      <c r="DX35" s="27">
        <v>38.871113412050001</v>
      </c>
      <c r="DY35" s="27">
        <v>53.379196056570002</v>
      </c>
      <c r="DZ35" s="27">
        <v>36.048188476189999</v>
      </c>
      <c r="EA35" s="27">
        <v>116.15267815741001</v>
      </c>
      <c r="EB35" s="27">
        <v>775.01444080928002</v>
      </c>
      <c r="EC35" s="28">
        <f>+SUM(DQ35:EB35)</f>
        <v>2767.6254954249498</v>
      </c>
      <c r="ED35" s="27">
        <v>172.13515553090002</v>
      </c>
      <c r="EE35" s="27">
        <v>30.81093702982</v>
      </c>
      <c r="EF35" s="27">
        <v>47.209648512310004</v>
      </c>
      <c r="EG35" s="27">
        <v>49.242754260520002</v>
      </c>
      <c r="EH35" s="27">
        <v>112.70499027772</v>
      </c>
      <c r="EI35" s="27">
        <v>813.23230501097009</v>
      </c>
      <c r="EJ35" s="27">
        <v>166.35257747763001</v>
      </c>
      <c r="EK35" s="27">
        <v>30.38191859658</v>
      </c>
      <c r="EL35" s="27">
        <v>40.419646718940001</v>
      </c>
      <c r="EM35" s="27">
        <v>58.190887579369999</v>
      </c>
      <c r="EN35" s="27">
        <v>111.67393232856</v>
      </c>
      <c r="EO35" s="27">
        <v>892.30336360362003</v>
      </c>
      <c r="EP35" s="28">
        <f>+SUM(ED35:EO35)</f>
        <v>2524.6581169269402</v>
      </c>
      <c r="EQ35" s="27">
        <v>160.27302918901</v>
      </c>
      <c r="ER35" s="27">
        <v>28.223405749919998</v>
      </c>
      <c r="ES35" s="27">
        <v>39.204439406969996</v>
      </c>
      <c r="ET35" s="27">
        <v>73.044972642529999</v>
      </c>
      <c r="EU35" s="27">
        <v>104.85410012518999</v>
      </c>
      <c r="EV35" s="27">
        <v>952.32542987205011</v>
      </c>
      <c r="EW35" s="27">
        <v>188.56941517760001</v>
      </c>
      <c r="EX35" s="27">
        <v>29.735948126129998</v>
      </c>
      <c r="EY35" s="27">
        <v>46.943002767500005</v>
      </c>
      <c r="EZ35" s="27">
        <v>83.503167931980002</v>
      </c>
      <c r="FA35" s="27">
        <v>107.32689267060999</v>
      </c>
      <c r="FB35" s="27">
        <v>994.02571180093003</v>
      </c>
      <c r="FC35" s="28">
        <f>+SUM(EQ35:FB35)</f>
        <v>2808.02951546042</v>
      </c>
      <c r="FD35" s="27">
        <v>170.87950981344</v>
      </c>
      <c r="FE35" s="27">
        <v>26.46244586505</v>
      </c>
      <c r="FF35" s="27">
        <v>41.099735536280001</v>
      </c>
      <c r="FG35" s="27">
        <v>97.38011112624001</v>
      </c>
      <c r="FH35" s="27">
        <v>114.83679763581</v>
      </c>
      <c r="FI35" s="27">
        <v>994.0904118517501</v>
      </c>
      <c r="FJ35" s="27">
        <v>168.93342466069001</v>
      </c>
      <c r="FK35" s="27">
        <v>22.067819177449998</v>
      </c>
      <c r="FL35" s="27">
        <v>39.850995030669999</v>
      </c>
      <c r="FM35" s="27">
        <v>105.95856866762</v>
      </c>
      <c r="FN35" s="27">
        <v>115.96122084135</v>
      </c>
      <c r="FO35" s="27">
        <v>928.02960915119991</v>
      </c>
      <c r="FP35" s="28">
        <f>+SUM(FD35:FO35)</f>
        <v>2825.5506493575499</v>
      </c>
      <c r="FQ35" s="27">
        <v>173.59199101248001</v>
      </c>
      <c r="FR35" s="27">
        <v>19.603754436780001</v>
      </c>
      <c r="FS35" s="27">
        <v>40.476899111529001</v>
      </c>
      <c r="FT35" s="27">
        <v>149.37568759407</v>
      </c>
      <c r="FU35" s="27">
        <v>141.64582342801998</v>
      </c>
      <c r="FV35" s="27">
        <v>1227.92899468728</v>
      </c>
      <c r="FW35" s="27">
        <v>197.32263265975999</v>
      </c>
      <c r="FX35" s="27">
        <v>16.771191383150004</v>
      </c>
      <c r="FY35" s="27">
        <v>39.157160556690002</v>
      </c>
      <c r="FZ35" s="27">
        <v>188.6391205505</v>
      </c>
      <c r="GA35" s="27">
        <v>122.55953481968</v>
      </c>
      <c r="GB35" s="27">
        <v>1182.86085986489</v>
      </c>
      <c r="GC35" s="28">
        <f>+SUM(FQ35:GB35)</f>
        <v>3499.9336501048292</v>
      </c>
      <c r="GD35" s="27">
        <v>188.44632929491999</v>
      </c>
      <c r="GE35" s="27">
        <v>15.07653903385</v>
      </c>
      <c r="GF35" s="27">
        <v>39.557929250219999</v>
      </c>
      <c r="GG35" s="27">
        <v>203.98066584791002</v>
      </c>
      <c r="GH35" s="27">
        <v>116.65883228005001</v>
      </c>
      <c r="GI35" s="27">
        <v>1196.4424396434101</v>
      </c>
      <c r="GJ35" s="27">
        <v>177.90164642069999</v>
      </c>
      <c r="GK35" s="27">
        <v>11.78305823636</v>
      </c>
      <c r="GL35" s="27">
        <v>90.197406766610001</v>
      </c>
      <c r="GM35" s="27">
        <v>205.63863943195</v>
      </c>
      <c r="GN35" s="27">
        <v>42.617835920670004</v>
      </c>
      <c r="GO35" s="27">
        <v>1179.5661337593999</v>
      </c>
      <c r="GP35" s="28">
        <f>+SUM(GD35:GO35)</f>
        <v>3467.8674558860503</v>
      </c>
      <c r="GQ35" s="27">
        <v>185.14995295873999</v>
      </c>
      <c r="GR35" s="27">
        <v>10.9153337845</v>
      </c>
      <c r="GS35" s="27">
        <v>94.141114372160004</v>
      </c>
      <c r="GT35" s="27">
        <v>172.90584985282001</v>
      </c>
      <c r="GU35" s="27">
        <v>35.763389987330001</v>
      </c>
      <c r="GV35" s="27">
        <v>914.97637909583</v>
      </c>
      <c r="GW35" s="27">
        <v>25.332209478420001</v>
      </c>
      <c r="GX35" s="27">
        <v>8.7035016061700006</v>
      </c>
      <c r="GY35" s="27">
        <v>202.12290856416999</v>
      </c>
      <c r="GZ35" s="27">
        <v>170.55925320999998</v>
      </c>
      <c r="HA35" s="27">
        <v>50.452897889999996</v>
      </c>
      <c r="HB35" s="27">
        <v>862.11791224000001</v>
      </c>
      <c r="HC35" s="28">
        <f>+SUM(GQ35:HB35)</f>
        <v>2733.1407030401401</v>
      </c>
      <c r="HD35" s="27">
        <v>18.933574119999999</v>
      </c>
      <c r="HE35" s="27">
        <v>8.4595109499999985</v>
      </c>
      <c r="HF35" s="27">
        <v>450.39036153000001</v>
      </c>
      <c r="HG35" s="27">
        <v>189.77389431999998</v>
      </c>
      <c r="HH35" s="27">
        <v>83.849549050000007</v>
      </c>
      <c r="HI35" s="27">
        <v>825.00639981000006</v>
      </c>
      <c r="HJ35" s="27">
        <v>17.865217619999999</v>
      </c>
      <c r="HK35" s="27">
        <v>7.9259809100000007</v>
      </c>
      <c r="HL35" s="27">
        <v>475.34322943000001</v>
      </c>
      <c r="HM35" s="27">
        <v>188.14054786</v>
      </c>
      <c r="HN35" s="27">
        <v>96.432792700000007</v>
      </c>
      <c r="HO35" s="27">
        <v>720.31166271999996</v>
      </c>
      <c r="HP35" s="26">
        <f>+SUM(HD35:HO35)</f>
        <v>3082.4327210199999</v>
      </c>
      <c r="HQ35" s="27">
        <v>18.005870439999999</v>
      </c>
      <c r="HR35" s="27">
        <v>6.1401799400000003</v>
      </c>
      <c r="HS35" s="27">
        <v>673.90885309999999</v>
      </c>
      <c r="HT35" s="27">
        <v>205.12172891999998</v>
      </c>
      <c r="HU35" s="27">
        <v>104.18679799</v>
      </c>
      <c r="HV35" s="27">
        <v>782.69703367</v>
      </c>
      <c r="HW35" s="27">
        <v>19.469091030000001</v>
      </c>
      <c r="HX35" s="27">
        <v>6.0457866500000002</v>
      </c>
      <c r="HY35" s="27">
        <v>857.30680425000003</v>
      </c>
      <c r="HZ35" s="27">
        <v>243.54205257000001</v>
      </c>
      <c r="IA35" s="27">
        <v>111.84871864</v>
      </c>
      <c r="IB35" s="27">
        <v>851.15767333000008</v>
      </c>
      <c r="IC35" s="26">
        <f>+SUM(HQ35:IB35)</f>
        <v>3879.4305905299998</v>
      </c>
      <c r="ID35" s="27">
        <v>20.760521069999999</v>
      </c>
      <c r="IE35" s="27">
        <v>6.2501853699999996</v>
      </c>
      <c r="IF35" s="27">
        <v>765.24004706000005</v>
      </c>
      <c r="IG35" s="27">
        <v>822.59820088000004</v>
      </c>
      <c r="IH35" s="27">
        <v>93.303616669999997</v>
      </c>
      <c r="II35" s="27">
        <v>787.61783562999995</v>
      </c>
      <c r="IJ35" s="27">
        <v>18.383135450000001</v>
      </c>
      <c r="IK35" s="27">
        <v>5.8024337399999997</v>
      </c>
      <c r="IL35" s="27">
        <v>805.25461576999999</v>
      </c>
      <c r="IM35" s="27">
        <v>804.95216195</v>
      </c>
      <c r="IN35" s="27">
        <v>83.273258999999996</v>
      </c>
      <c r="IO35" s="27">
        <v>733.51209546999996</v>
      </c>
      <c r="IP35" s="26">
        <f>+SUM(ID35:IO35)</f>
        <v>4946.948108059999</v>
      </c>
      <c r="IQ35" s="27">
        <v>11.596389520000001</v>
      </c>
      <c r="IR35" s="27">
        <v>5.54677519</v>
      </c>
      <c r="IS35" s="27">
        <v>1382.8223321299999</v>
      </c>
      <c r="IT35" s="27">
        <v>783.93665456000008</v>
      </c>
      <c r="IU35" s="27">
        <v>74.756169929999999</v>
      </c>
      <c r="IV35" s="27">
        <v>626.67090026999995</v>
      </c>
      <c r="IW35" s="27">
        <v>0</v>
      </c>
      <c r="IX35" s="27">
        <v>5.4621364699999999</v>
      </c>
      <c r="IY35" s="26">
        <f>+SUM(IQ35:IX35)</f>
        <v>2890.7913580700001</v>
      </c>
    </row>
    <row r="36" spans="1:259" s="11" customFormat="1" ht="12" customHeight="1" x14ac:dyDescent="0.25">
      <c r="A36" s="25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4"/>
      <c r="IO36" s="24"/>
      <c r="IP36" s="24"/>
      <c r="IQ36" s="24"/>
      <c r="IR36" s="24"/>
      <c r="IS36" s="24"/>
      <c r="IT36" s="24"/>
      <c r="IU36" s="24"/>
      <c r="IV36" s="24"/>
      <c r="IW36" s="24"/>
      <c r="IX36" s="24"/>
      <c r="IY36" s="24"/>
    </row>
    <row r="37" spans="1:259" s="21" customFormat="1" ht="20.100000000000001" customHeight="1" x14ac:dyDescent="0.25">
      <c r="A37" s="23" t="s">
        <v>7</v>
      </c>
      <c r="B37" s="22">
        <v>5869.1001281034223</v>
      </c>
      <c r="C37" s="22">
        <v>876.4100274000009</v>
      </c>
      <c r="D37" s="22">
        <v>-21050.726307439985</v>
      </c>
      <c r="E37" s="22">
        <v>20776.38051432162</v>
      </c>
      <c r="F37" s="22">
        <f>SUM(F38:F39)</f>
        <v>8828.0723270414965</v>
      </c>
      <c r="G37" s="22">
        <f>SUM(G38:G39)</f>
        <v>-3416.8036218215102</v>
      </c>
      <c r="H37" s="22">
        <f>SUM(H38:H39)</f>
        <v>6556.4010776672112</v>
      </c>
      <c r="I37" s="22">
        <v>14421.385095238544</v>
      </c>
      <c r="J37" s="22">
        <v>-46728.136020538346</v>
      </c>
      <c r="K37" s="22">
        <v>3422.215936263292</v>
      </c>
      <c r="L37" s="22">
        <v>-2273.2683072553218</v>
      </c>
      <c r="M37" s="22">
        <v>-16070.557018348605</v>
      </c>
      <c r="N37" s="22">
        <v>6866.968320812769</v>
      </c>
      <c r="O37" s="22">
        <v>-9105.9339194876302</v>
      </c>
      <c r="P37" s="22">
        <f>SUM(D37:O37)</f>
        <v>-37774.001923546464</v>
      </c>
      <c r="Q37" s="22">
        <v>-36210.152810257016</v>
      </c>
      <c r="R37" s="22">
        <v>26223.56625769534</v>
      </c>
      <c r="S37" s="22">
        <v>-7211.0796186146354</v>
      </c>
      <c r="T37" s="22">
        <v>-46403.745021304145</v>
      </c>
      <c r="U37" s="22">
        <v>8968.4514528540221</v>
      </c>
      <c r="V37" s="22">
        <f>V38+V39</f>
        <v>-6653.0403431095101</v>
      </c>
      <c r="W37" s="22">
        <f>W38+W39</f>
        <v>-59391.352088249885</v>
      </c>
      <c r="X37" s="22">
        <f>X38+X39</f>
        <v>5502.9390368965924</v>
      </c>
      <c r="Y37" s="22">
        <f>Y38+Y39</f>
        <v>-14025.182544019648</v>
      </c>
      <c r="Z37" s="22">
        <f>Z38+Z39</f>
        <v>-13952.996728039698</v>
      </c>
      <c r="AA37" s="22">
        <f>AA38+AA39</f>
        <v>3228.8598768656939</v>
      </c>
      <c r="AB37" s="22">
        <f>AB38+AB39</f>
        <v>7722.4232063135159</v>
      </c>
      <c r="AC37" s="22">
        <f>SUM(Q37:AB37)</f>
        <v>-132201.30932296938</v>
      </c>
      <c r="AD37" s="22">
        <f>AD38+AD39</f>
        <v>-55016.624701269146</v>
      </c>
      <c r="AE37" s="22">
        <f>AE38+AE39</f>
        <v>13786.086486568138</v>
      </c>
      <c r="AF37" s="22">
        <f>AF38+AF39</f>
        <v>7025.2619636822328</v>
      </c>
      <c r="AG37" s="22">
        <f>AG38+AG39</f>
        <v>-17640.471918051902</v>
      </c>
      <c r="AH37" s="22">
        <f>AH38+AH39</f>
        <v>3071.6703376523919</v>
      </c>
      <c r="AI37" s="22">
        <f>AI38+AI39</f>
        <v>35052.871619768157</v>
      </c>
      <c r="AJ37" s="22">
        <f>AJ38+AJ39</f>
        <v>14103.217462899933</v>
      </c>
      <c r="AK37" s="22">
        <f>AK38+AK39</f>
        <v>40535.649162529953</v>
      </c>
      <c r="AL37" s="22">
        <f>AL38+AL39</f>
        <v>-27634.60516743307</v>
      </c>
      <c r="AM37" s="22">
        <f>AM38+AM39</f>
        <v>-27166.136605685642</v>
      </c>
      <c r="AN37" s="22">
        <f>AN38+AN39</f>
        <v>6723.0926110838373</v>
      </c>
      <c r="AO37" s="22">
        <f>AO38+AO39</f>
        <v>-6795.9006574690347</v>
      </c>
      <c r="AP37" s="22">
        <f>SUM(AD37:AO37)</f>
        <v>-13955.889405724149</v>
      </c>
      <c r="AQ37" s="22">
        <f>AQ38+AQ39</f>
        <v>-56739.224561692514</v>
      </c>
      <c r="AR37" s="22">
        <f>AR38+AR39</f>
        <v>28087.946663305163</v>
      </c>
      <c r="AS37" s="22">
        <f>AS38+AS39</f>
        <v>-14337.297525092226</v>
      </c>
      <c r="AT37" s="22">
        <f>AT38+AT39</f>
        <v>79765.82329188539</v>
      </c>
      <c r="AU37" s="22">
        <f>AU38+AU39</f>
        <v>10141.414865514424</v>
      </c>
      <c r="AV37" s="22">
        <f>AV38+AV39</f>
        <v>-15835.633960069343</v>
      </c>
      <c r="AW37" s="22">
        <f>AW38+AW39</f>
        <v>-22425.243602495244</v>
      </c>
      <c r="AX37" s="22">
        <f>AX38+AX39</f>
        <v>3280.9932076192604</v>
      </c>
      <c r="AY37" s="22">
        <f>AY38+AY39</f>
        <v>-3512.8450227811932</v>
      </c>
      <c r="AZ37" s="22">
        <f>AZ38+AZ39</f>
        <v>3398.8923169477766</v>
      </c>
      <c r="BA37" s="22">
        <f>BA38+BA39</f>
        <v>4683.9828667780066</v>
      </c>
      <c r="BB37" s="22">
        <v>11039.185204653742</v>
      </c>
      <c r="BC37" s="22">
        <f>SUM(AQ37:BB37)</f>
        <v>27547.993744573243</v>
      </c>
      <c r="BD37" s="22">
        <f>BD38+BD39</f>
        <v>-81044.981357651544</v>
      </c>
      <c r="BE37" s="22">
        <f>BE38+BE39</f>
        <v>26491.315391795946</v>
      </c>
      <c r="BF37" s="22">
        <f>BF38+BF39</f>
        <v>6870.0186206251483</v>
      </c>
      <c r="BG37" s="22">
        <f>BG38+BG39</f>
        <v>25321.589566576786</v>
      </c>
      <c r="BH37" s="22">
        <f>BH38+BH39</f>
        <v>-7523.3749617848061</v>
      </c>
      <c r="BI37" s="22">
        <f>BI38+BI39</f>
        <v>43305.407031526716</v>
      </c>
      <c r="BJ37" s="22">
        <f>BJ38+BJ39</f>
        <v>-86077.013364768063</v>
      </c>
      <c r="BK37" s="22">
        <f>BK38+BK39</f>
        <v>15199.808510164925</v>
      </c>
      <c r="BL37" s="22">
        <f>BL38+BL39</f>
        <v>11673.926351184553</v>
      </c>
      <c r="BM37" s="22">
        <f>BM38+BM39</f>
        <v>-11824.773238107511</v>
      </c>
      <c r="BN37" s="22">
        <f>BN38+BN39</f>
        <v>5665.3075690162132</v>
      </c>
      <c r="BO37" s="22">
        <f>BO38+BO39</f>
        <v>12741.710422924612</v>
      </c>
      <c r="BP37" s="22">
        <f>SUM(BD37:BO37)</f>
        <v>-39201.059458497031</v>
      </c>
      <c r="BQ37" s="22">
        <f>BQ38+BQ39</f>
        <v>-76160.981778312504</v>
      </c>
      <c r="BR37" s="22">
        <f>BR38+BR39</f>
        <v>18649.48191710997</v>
      </c>
      <c r="BS37" s="22">
        <f>BS38+BS39</f>
        <v>-1981.124834549996</v>
      </c>
      <c r="BT37" s="22">
        <f>BT38+BT39</f>
        <v>6966.7117265438501</v>
      </c>
      <c r="BU37" s="22">
        <f>BU38+BU39</f>
        <v>17533.01321664681</v>
      </c>
      <c r="BV37" s="22">
        <f>BV38+BV39</f>
        <v>34223.421464059989</v>
      </c>
      <c r="BW37" s="22">
        <f>BW38+BW39</f>
        <v>-109458.15852129001</v>
      </c>
      <c r="BX37" s="22">
        <f>BX38+BX39</f>
        <v>-28576.096893500016</v>
      </c>
      <c r="BY37" s="22">
        <f>BY38+BY39</f>
        <v>23528.027126118541</v>
      </c>
      <c r="BZ37" s="22">
        <f>BZ38+BZ39</f>
        <v>22426.687110309995</v>
      </c>
      <c r="CA37" s="22">
        <f>CA38+CA39</f>
        <v>914.78060001996778</v>
      </c>
      <c r="CB37" s="22">
        <f>CB38+CB39</f>
        <v>25581.167626860002</v>
      </c>
      <c r="CC37" s="22">
        <f>SUM(BQ37:CB37)</f>
        <v>-66353.071239983416</v>
      </c>
      <c r="CD37" s="22">
        <f>CD38+CD39</f>
        <v>-98177.666229369963</v>
      </c>
      <c r="CE37" s="22">
        <f>CE38+CE39</f>
        <v>9984.3657584799967</v>
      </c>
      <c r="CF37" s="22">
        <f>CF38+CF39</f>
        <v>-28985.275642419987</v>
      </c>
      <c r="CG37" s="22">
        <f>CG38+CG39</f>
        <v>-16140.200650867984</v>
      </c>
      <c r="CH37" s="22">
        <f>CH38+CH39</f>
        <v>-27236.112735179184</v>
      </c>
      <c r="CI37" s="22">
        <f>CI38+CI39</f>
        <v>31737.652950754768</v>
      </c>
      <c r="CJ37" s="22">
        <f>CJ38+CJ39</f>
        <v>-47345.349817066715</v>
      </c>
      <c r="CK37" s="22">
        <f>CK38+CK39</f>
        <v>17278.417650439653</v>
      </c>
      <c r="CL37" s="22">
        <f>CL38+CL39</f>
        <v>-13838.883934450005</v>
      </c>
      <c r="CM37" s="22">
        <f>CM38+CM39</f>
        <v>15264.416264570005</v>
      </c>
      <c r="CN37" s="22">
        <f>CN38+CN39</f>
        <v>22729.134575873482</v>
      </c>
      <c r="CO37" s="22">
        <f>CO38+CO39</f>
        <v>31532.173381750006</v>
      </c>
      <c r="CP37" s="22">
        <f>+SUM(CD37:CO37)</f>
        <v>-103197.32842748595</v>
      </c>
      <c r="CQ37" s="22">
        <f>CQ38+CQ39</f>
        <v>-100104.12083449561</v>
      </c>
      <c r="CR37" s="22">
        <f>CR38+CR39</f>
        <v>6469.4725327510496</v>
      </c>
      <c r="CS37" s="22">
        <f>CS38+CS39</f>
        <v>-3302.3773298700162</v>
      </c>
      <c r="CT37" s="22">
        <f>CT38+CT39</f>
        <v>-47605.451376530014</v>
      </c>
      <c r="CU37" s="22">
        <f>CU38+CU39</f>
        <v>50980.996607070003</v>
      </c>
      <c r="CV37" s="22">
        <f>CV38+CV39</f>
        <v>64246.160216890006</v>
      </c>
      <c r="CW37" s="22">
        <f>CW38+CW39</f>
        <v>-51533.186707960005</v>
      </c>
      <c r="CX37" s="22">
        <f>CX38+CX39</f>
        <v>-18815.419490040018</v>
      </c>
      <c r="CY37" s="22">
        <f>CY38+CY39</f>
        <v>-12811.187069327518</v>
      </c>
      <c r="CZ37" s="22">
        <f>CZ38+CZ39</f>
        <v>-48689.282394420014</v>
      </c>
      <c r="DA37" s="22">
        <f>DA38+DA39</f>
        <v>29650.800123880006</v>
      </c>
      <c r="DB37" s="22">
        <f>DB38+DB39</f>
        <v>61284.892294490004</v>
      </c>
      <c r="DC37" s="22">
        <f>+SUM(CQ37:DB37)</f>
        <v>-70228.703427562083</v>
      </c>
      <c r="DD37" s="22">
        <f>DD38+DD39</f>
        <v>-69946.144502010007</v>
      </c>
      <c r="DE37" s="22">
        <f>DE38+DE39</f>
        <v>49121.269449959989</v>
      </c>
      <c r="DF37" s="22">
        <f>DF38+DF39</f>
        <v>70190.042582819995</v>
      </c>
      <c r="DG37" s="22">
        <f>DG38+DG39</f>
        <v>-10429.315737319987</v>
      </c>
      <c r="DH37" s="22">
        <f>DH38+DH39</f>
        <v>13109.184834820011</v>
      </c>
      <c r="DI37" s="22">
        <f>DI38+DI39</f>
        <v>64058.412695099985</v>
      </c>
      <c r="DJ37" s="22">
        <f>DJ38+DJ39</f>
        <v>-19818.11847707002</v>
      </c>
      <c r="DK37" s="22">
        <f>DK38+DK39</f>
        <v>45441.58854381393</v>
      </c>
      <c r="DL37" s="22">
        <f>DL38+DL39</f>
        <v>13448.222296399994</v>
      </c>
      <c r="DM37" s="22">
        <f>DM38+DM39</f>
        <v>-110947.46654839502</v>
      </c>
      <c r="DN37" s="22">
        <f>DN38+DN39</f>
        <v>42452.241455419047</v>
      </c>
      <c r="DO37" s="22">
        <f>DO38+DO39</f>
        <v>42752.983261932342</v>
      </c>
      <c r="DP37" s="22">
        <f>+SUM(DD37:DO37)</f>
        <v>129432.89985547024</v>
      </c>
      <c r="DQ37" s="22">
        <f>DQ38+DQ39</f>
        <v>-78378.387673819976</v>
      </c>
      <c r="DR37" s="22">
        <f>DR38+DR39</f>
        <v>39074.040630227188</v>
      </c>
      <c r="DS37" s="22">
        <f>DS38+DS39</f>
        <v>49608.402743179839</v>
      </c>
      <c r="DT37" s="22">
        <f>DT38+DT39</f>
        <v>-108512.33359647768</v>
      </c>
      <c r="DU37" s="22">
        <f>DU38+DU39</f>
        <v>44319.861285091109</v>
      </c>
      <c r="DV37" s="22">
        <f>DV38+DV39</f>
        <v>61260.712065504442</v>
      </c>
      <c r="DW37" s="22">
        <f>DW38+DW39</f>
        <v>-31573.069447507638</v>
      </c>
      <c r="DX37" s="22">
        <f>DX38+DX39</f>
        <v>-33172.364041971719</v>
      </c>
      <c r="DY37" s="22">
        <f>DY38+DY39</f>
        <v>61985.646730973443</v>
      </c>
      <c r="DZ37" s="22">
        <f>DZ38+DZ39</f>
        <v>-36037.844053138251</v>
      </c>
      <c r="EA37" s="22">
        <f>EA38+EA39</f>
        <v>24910.748227200987</v>
      </c>
      <c r="EB37" s="22">
        <f>EB38+EB39</f>
        <v>-3999.8341937099867</v>
      </c>
      <c r="EC37" s="22">
        <f>+SUM(DQ37:EB37)</f>
        <v>-10514.421324448234</v>
      </c>
      <c r="ED37" s="22">
        <f>ED38+ED39</f>
        <v>-83962.403757041597</v>
      </c>
      <c r="EE37" s="22">
        <f>EE38+EE39</f>
        <v>57991.530041277372</v>
      </c>
      <c r="EF37" s="22">
        <f>EF38+EF39</f>
        <v>66598.815747474408</v>
      </c>
      <c r="EG37" s="22">
        <f>EG38+EG39</f>
        <v>-13248.967006490857</v>
      </c>
      <c r="EH37" s="22">
        <f>EH38+EH39</f>
        <v>-19738.141777332181</v>
      </c>
      <c r="EI37" s="22">
        <f>EI38+EI39</f>
        <v>70261.268874191344</v>
      </c>
      <c r="EJ37" s="22">
        <f>EJ38+EJ39</f>
        <v>-33946.297391583561</v>
      </c>
      <c r="EK37" s="22">
        <f>EK38+EK39</f>
        <v>33004.25582219693</v>
      </c>
      <c r="EL37" s="22">
        <f>EL38+EL39</f>
        <v>-319.40280408881392</v>
      </c>
      <c r="EM37" s="22">
        <f>EM38+EM39</f>
        <v>-23330.251331510815</v>
      </c>
      <c r="EN37" s="22">
        <f>EN38+EN39</f>
        <v>29479.717186445327</v>
      </c>
      <c r="EO37" s="22">
        <f>EO38+EO39</f>
        <v>36220.604315352888</v>
      </c>
      <c r="EP37" s="22">
        <f>+SUM(ED37:EO37)</f>
        <v>119010.72791889045</v>
      </c>
      <c r="EQ37" s="22">
        <f>EQ38+EQ39</f>
        <v>-52497.746635269898</v>
      </c>
      <c r="ER37" s="22">
        <f>ER38+ER39</f>
        <v>28513.211844000085</v>
      </c>
      <c r="ES37" s="22">
        <f>ES38+ES39</f>
        <v>23949.434222460324</v>
      </c>
      <c r="ET37" s="22">
        <f>ET38+ET39</f>
        <v>-7035.8105704554455</v>
      </c>
      <c r="EU37" s="22">
        <f>EU38+EU39</f>
        <v>19848.064125671623</v>
      </c>
      <c r="EV37" s="22">
        <f>EV38+EV39</f>
        <v>-405.49876848021802</v>
      </c>
      <c r="EW37" s="22">
        <f>EW38+EW39</f>
        <v>-32511.814853298511</v>
      </c>
      <c r="EX37" s="22">
        <f>EX38+EX39</f>
        <v>-5883.5028563916594</v>
      </c>
      <c r="EY37" s="22">
        <f>EY38+EY39</f>
        <v>-26727.260564396853</v>
      </c>
      <c r="EZ37" s="22">
        <f>EZ38+EZ39</f>
        <v>-33255.456201937537</v>
      </c>
      <c r="FA37" s="22">
        <f>FA38+FA39</f>
        <v>34679.315230999993</v>
      </c>
      <c r="FB37" s="22">
        <f>FB38+FB39</f>
        <v>28178.434344066158</v>
      </c>
      <c r="FC37" s="22">
        <f>+SUM(EQ37:FB37)</f>
        <v>-23148.630683031948</v>
      </c>
      <c r="FD37" s="22">
        <f>FD38+FD39</f>
        <v>-85994.906914733539</v>
      </c>
      <c r="FE37" s="22">
        <f>FE38+FE39</f>
        <v>36044.01122323134</v>
      </c>
      <c r="FF37" s="22">
        <f>FF38+FF39</f>
        <v>8703.9606471351999</v>
      </c>
      <c r="FG37" s="22">
        <f>FG38+FG39</f>
        <v>-70145.573637202076</v>
      </c>
      <c r="FH37" s="22">
        <f>FH38+FH39</f>
        <v>-16312.511464631521</v>
      </c>
      <c r="FI37" s="22">
        <f>FI38+FI39</f>
        <v>67481.627063980268</v>
      </c>
      <c r="FJ37" s="22">
        <f>FJ38+FJ39</f>
        <v>-8383.5993055254294</v>
      </c>
      <c r="FK37" s="22">
        <f>FK38+FK39</f>
        <v>39615.257241477448</v>
      </c>
      <c r="FL37" s="22">
        <f>FL38+FL39</f>
        <v>57093.791300276418</v>
      </c>
      <c r="FM37" s="22">
        <f>FM38+FM39</f>
        <v>-54641.74494398095</v>
      </c>
      <c r="FN37" s="22">
        <f>FN38+FN39</f>
        <v>49541.261148208643</v>
      </c>
      <c r="FO37" s="22">
        <f>FO38+FO39</f>
        <v>19268.35902028935</v>
      </c>
      <c r="FP37" s="22">
        <f>+SUM(FD37:FO37)</f>
        <v>42269.931378525143</v>
      </c>
      <c r="FQ37" s="22">
        <f>FQ38+FQ39</f>
        <v>-58605.530214705817</v>
      </c>
      <c r="FR37" s="22">
        <f>FR38+FR39</f>
        <v>20164.312580203223</v>
      </c>
      <c r="FS37" s="22">
        <f>FS38+FS39</f>
        <v>-121992.67465001151</v>
      </c>
      <c r="FT37" s="22">
        <f>FT38+FT39</f>
        <v>-82664.215576927265</v>
      </c>
      <c r="FU37" s="22">
        <f>FU38+FU39</f>
        <v>73580.136643252757</v>
      </c>
      <c r="FV37" s="22">
        <f>FV38+FV39</f>
        <v>114756.04027962156</v>
      </c>
      <c r="FW37" s="22">
        <f>FW38+FW39</f>
        <v>-58473.277939851425</v>
      </c>
      <c r="FX37" s="22">
        <f>FX38+FX39</f>
        <v>31894.047719978309</v>
      </c>
      <c r="FY37" s="22">
        <f>FY38+FY39</f>
        <v>80701.0741716989</v>
      </c>
      <c r="FZ37" s="22">
        <f>FZ38+FZ39</f>
        <v>75955.609451939483</v>
      </c>
      <c r="GA37" s="22">
        <f>GA38+GA39</f>
        <v>139666.10685741575</v>
      </c>
      <c r="GB37" s="22">
        <f>GB38+GB39</f>
        <v>193340.70904787577</v>
      </c>
      <c r="GC37" s="22">
        <f>+SUM(FQ37:GB37)</f>
        <v>408322.33837048977</v>
      </c>
      <c r="GD37" s="22">
        <f>GD38+GD39</f>
        <v>6813.9576533550571</v>
      </c>
      <c r="GE37" s="22">
        <f>GE38+GE39</f>
        <v>111508.58422206454</v>
      </c>
      <c r="GF37" s="22">
        <f>GF38+GF39</f>
        <v>1235.5994968847679</v>
      </c>
      <c r="GG37" s="22">
        <f>GG38+GG39</f>
        <v>-166974.78666544709</v>
      </c>
      <c r="GH37" s="22">
        <f>GH38+GH39</f>
        <v>57998.240644890706</v>
      </c>
      <c r="GI37" s="22">
        <f>GI38+GI39</f>
        <v>138129.05038677459</v>
      </c>
      <c r="GJ37" s="22">
        <f>GJ38+GJ39</f>
        <v>24367.296739914575</v>
      </c>
      <c r="GK37" s="22">
        <f>GK38+GK39</f>
        <v>45525.550678058535</v>
      </c>
      <c r="GL37" s="22">
        <f>GL38+GL39</f>
        <v>-90268.606072485738</v>
      </c>
      <c r="GM37" s="22">
        <f>GM38+GM39</f>
        <v>-125834.74281531195</v>
      </c>
      <c r="GN37" s="22">
        <f>GN38+GN39</f>
        <v>84636.142113350492</v>
      </c>
      <c r="GO37" s="22">
        <f>GO38+GO39</f>
        <v>67907.337363925748</v>
      </c>
      <c r="GP37" s="22">
        <f>+SUM(GD37:GO37)</f>
        <v>155043.62374597421</v>
      </c>
      <c r="GQ37" s="22">
        <f>GQ38+GQ39</f>
        <v>-30223.046423951189</v>
      </c>
      <c r="GR37" s="22">
        <f>GR38+GR39</f>
        <v>78151.324335945508</v>
      </c>
      <c r="GS37" s="22">
        <f>GS38+GS39</f>
        <v>-204660.40261287903</v>
      </c>
      <c r="GT37" s="22">
        <f>GT38+GT39</f>
        <v>-40645.774462282796</v>
      </c>
      <c r="GU37" s="22">
        <f>GU38+GU39</f>
        <v>69184.02266227419</v>
      </c>
      <c r="GV37" s="22">
        <f>GV38+GV39</f>
        <v>67332.736536530385</v>
      </c>
      <c r="GW37" s="22">
        <f>GW38+GW39</f>
        <v>-81623.504077372811</v>
      </c>
      <c r="GX37" s="22">
        <f>GX38+GX39</f>
        <v>-56620.73743075208</v>
      </c>
      <c r="GY37" s="22">
        <f>GY38+GY39</f>
        <v>-76383.951956069461</v>
      </c>
      <c r="GZ37" s="22">
        <f>GZ38+GZ39</f>
        <v>-9107.9153098000024</v>
      </c>
      <c r="HA37" s="22">
        <f>HA38+HA39</f>
        <v>41250.250128399995</v>
      </c>
      <c r="HB37" s="22">
        <f>HB38+HB39</f>
        <v>26252.673573969994</v>
      </c>
      <c r="HC37" s="22">
        <f>+SUM(GQ37:HB37)</f>
        <v>-217094.32503598731</v>
      </c>
      <c r="HD37" s="22">
        <f>HD38+HD39</f>
        <v>-230739.86345081998</v>
      </c>
      <c r="HE37" s="22">
        <f>HE38+HE39</f>
        <v>32926.564017409997</v>
      </c>
      <c r="HF37" s="22">
        <f>HF38+HF39</f>
        <v>-20311.625563680012</v>
      </c>
      <c r="HG37" s="22">
        <f>HG38+HG39</f>
        <v>92304.793055169983</v>
      </c>
      <c r="HH37" s="22">
        <f>HH38+HH39</f>
        <v>-75043.679458739978</v>
      </c>
      <c r="HI37" s="22">
        <f>HI38+HI39</f>
        <v>144207.7892577</v>
      </c>
      <c r="HJ37" s="22">
        <f>HJ38+HJ39</f>
        <v>-92620.794093329998</v>
      </c>
      <c r="HK37" s="22">
        <f>HK38+HK39</f>
        <v>59271.849292879997</v>
      </c>
      <c r="HL37" s="22">
        <f>HL38+HL39</f>
        <v>-244199.84183924002</v>
      </c>
      <c r="HM37" s="22">
        <f>HM38+HM39</f>
        <v>45468.71501521999</v>
      </c>
      <c r="HN37" s="22">
        <f>HN38+HN39</f>
        <v>109264.68014848999</v>
      </c>
      <c r="HO37" s="22">
        <f>HO38+HO39</f>
        <v>141288.55926520997</v>
      </c>
      <c r="HP37" s="22">
        <f>+SUM(HD37:HO37)</f>
        <v>-38182.854353730072</v>
      </c>
      <c r="HQ37" s="22">
        <f>HQ38+HQ39</f>
        <v>-132066.73910039003</v>
      </c>
      <c r="HR37" s="22">
        <f>HR38+HR39</f>
        <v>90211.28600511</v>
      </c>
      <c r="HS37" s="22">
        <f>HS38+HS39</f>
        <v>-13374.583420439974</v>
      </c>
      <c r="HT37" s="22">
        <f>HT38+HT39</f>
        <v>3474.5317184800006</v>
      </c>
      <c r="HU37" s="22">
        <f>HU38+HU39</f>
        <v>146710.26413173997</v>
      </c>
      <c r="HV37" s="22">
        <f>HV38+HV39</f>
        <v>82204.06094642001</v>
      </c>
      <c r="HW37" s="22">
        <f>HW38+HW39</f>
        <v>7654.5828202800112</v>
      </c>
      <c r="HX37" s="22">
        <f>HX38+HX39</f>
        <v>-163442.57183970997</v>
      </c>
      <c r="HY37" s="22">
        <f>HY38+HY39</f>
        <v>-127911.80150477997</v>
      </c>
      <c r="HZ37" s="22">
        <f>HZ38+HZ39</f>
        <v>41525.880630200001</v>
      </c>
      <c r="IA37" s="22">
        <f>IA38+IA39</f>
        <v>56380.435146080003</v>
      </c>
      <c r="IB37" s="22">
        <f>IB38+IB39</f>
        <v>42632.979659449993</v>
      </c>
      <c r="IC37" s="22">
        <f>+SUM(HQ37:IB37)</f>
        <v>33998.325192440061</v>
      </c>
      <c r="ID37" s="22">
        <f>ID38+ID39</f>
        <v>-109764.60434114996</v>
      </c>
      <c r="IE37" s="22">
        <f>IE38+IE39</f>
        <v>165680.9750598</v>
      </c>
      <c r="IF37" s="22">
        <f>IF38+IF39</f>
        <v>-54716.858138500022</v>
      </c>
      <c r="IG37" s="22">
        <f>IG38+IG39</f>
        <v>39987.885594899999</v>
      </c>
      <c r="IH37" s="22">
        <f>IH38+IH39</f>
        <v>-26035.857133110036</v>
      </c>
      <c r="II37" s="22">
        <f>II38+II39</f>
        <v>159189.20527651999</v>
      </c>
      <c r="IJ37" s="22">
        <f>IJ38+IJ39</f>
        <v>-33806.665815149987</v>
      </c>
      <c r="IK37" s="22">
        <f>IK38+IK39</f>
        <v>136639.44283961999</v>
      </c>
      <c r="IL37" s="22">
        <f>IL38+IL39</f>
        <v>-93122.431867570005</v>
      </c>
      <c r="IM37" s="22">
        <f>IM38+IM39</f>
        <v>41378.31040835999</v>
      </c>
      <c r="IN37" s="22">
        <f>IN38+IN39</f>
        <v>153706.24374787</v>
      </c>
      <c r="IO37" s="22">
        <f>IO38+IO39</f>
        <v>59927.135623809998</v>
      </c>
      <c r="IP37" s="22">
        <f>+SUM(ID37:IO37)</f>
        <v>439062.78125540004</v>
      </c>
      <c r="IQ37" s="22">
        <f>IQ38+IQ39</f>
        <v>-68758.045531000011</v>
      </c>
      <c r="IR37" s="22">
        <f>IR38+IR39</f>
        <v>125751.80711758998</v>
      </c>
      <c r="IS37" s="22">
        <f>IS38+IS39</f>
        <v>-305385.74793588999</v>
      </c>
      <c r="IT37" s="22">
        <f>IT38+IT39</f>
        <v>83953.78292824002</v>
      </c>
      <c r="IU37" s="22">
        <f>IU38+IU39</f>
        <v>134459.51697833999</v>
      </c>
      <c r="IV37" s="22">
        <f>IV38+IV39</f>
        <v>142252.79987752001</v>
      </c>
      <c r="IW37" s="22">
        <f>IW38+IW39</f>
        <v>-65139.186629690041</v>
      </c>
      <c r="IX37" s="22">
        <f>IX38+IX39</f>
        <v>-84433.810374289969</v>
      </c>
      <c r="IY37" s="22">
        <f>+SUM(IQ37:IX37)</f>
        <v>-37298.883569180005</v>
      </c>
    </row>
    <row r="38" spans="1:259" s="11" customFormat="1" ht="20.100000000000001" customHeight="1" x14ac:dyDescent="0.25">
      <c r="A38" s="20" t="s">
        <v>6</v>
      </c>
      <c r="B38" s="19">
        <v>6705.5152597700071</v>
      </c>
      <c r="C38" s="19">
        <v>558.26619940000091</v>
      </c>
      <c r="D38" s="19">
        <v>-18192.135896819986</v>
      </c>
      <c r="E38" s="19">
        <v>21813.867892010003</v>
      </c>
      <c r="F38" s="19">
        <v>10472.723614240007</v>
      </c>
      <c r="G38" s="19">
        <v>-1957.8690790399833</v>
      </c>
      <c r="H38" s="19">
        <v>10663.913664299995</v>
      </c>
      <c r="I38" s="19">
        <v>13934.238464373555</v>
      </c>
      <c r="J38" s="19">
        <v>-39419.95223535999</v>
      </c>
      <c r="K38" s="19">
        <v>4347.1696026614136</v>
      </c>
      <c r="L38" s="19">
        <v>697.46089441607182</v>
      </c>
      <c r="M38" s="19">
        <v>-13320.213979129998</v>
      </c>
      <c r="N38" s="19">
        <v>8453.2473904000035</v>
      </c>
      <c r="O38" s="19">
        <v>-7496.5461385900026</v>
      </c>
      <c r="P38" s="18">
        <f>SUM(D38:O38)</f>
        <v>-10004.095806538906</v>
      </c>
      <c r="Q38" s="19">
        <v>-34297.706840370018</v>
      </c>
      <c r="R38" s="19">
        <v>27288.779943810005</v>
      </c>
      <c r="S38" s="19">
        <v>-4697.6123737599974</v>
      </c>
      <c r="T38" s="19">
        <v>-42953.204891039997</v>
      </c>
      <c r="U38" s="19">
        <v>8501.1225771400004</v>
      </c>
      <c r="V38" s="19">
        <f>V9-V23</f>
        <v>-6206.6591112099959</v>
      </c>
      <c r="W38" s="19">
        <f>W9-W23</f>
        <v>-57494.098847039997</v>
      </c>
      <c r="X38" s="19">
        <f>X9-X23</f>
        <v>6142.7438127499991</v>
      </c>
      <c r="Y38" s="19">
        <f>Y9-Y23</f>
        <v>-12817.971800129999</v>
      </c>
      <c r="Z38" s="19">
        <f>Z9-Z23</f>
        <v>-12964.967025320004</v>
      </c>
      <c r="AA38" s="19">
        <f>AA9-AA23</f>
        <v>4396.1003384799915</v>
      </c>
      <c r="AB38" s="19">
        <f>AB9-AB23</f>
        <v>7870.1177050199985</v>
      </c>
      <c r="AC38" s="18">
        <f>SUM(Q38:AB38)</f>
        <v>-117233.35651167002</v>
      </c>
      <c r="AD38" s="19">
        <f>AD9-AD23</f>
        <v>-54839.644506330034</v>
      </c>
      <c r="AE38" s="19">
        <f>AE9-AE23</f>
        <v>14943.002036400001</v>
      </c>
      <c r="AF38" s="19">
        <f>AF9-AF23</f>
        <v>8449.2524291299997</v>
      </c>
      <c r="AG38" s="19">
        <f>AG9-AG23</f>
        <v>-15645.139348720008</v>
      </c>
      <c r="AH38" s="19">
        <f>AH9-AH23</f>
        <v>2445.1818086400017</v>
      </c>
      <c r="AI38" s="19">
        <f>AI9-AI23</f>
        <v>36101.321195204262</v>
      </c>
      <c r="AJ38" s="19">
        <f>AJ9-AJ23</f>
        <v>16598.409420229982</v>
      </c>
      <c r="AK38" s="19">
        <f>AK9-AK23</f>
        <v>40203.11951406001</v>
      </c>
      <c r="AL38" s="19">
        <f>AL9-AL23</f>
        <v>-26141.958666279988</v>
      </c>
      <c r="AM38" s="19">
        <f>AM9-AM23</f>
        <v>-26010.996458020007</v>
      </c>
      <c r="AN38" s="19">
        <f>AN9-AN23</f>
        <v>7923.5265658099961</v>
      </c>
      <c r="AO38" s="19">
        <f>AO9-AO23</f>
        <v>-3983.0847557900051</v>
      </c>
      <c r="AP38" s="18">
        <f>SUM(AD38:AO38)</f>
        <v>42.98923433420714</v>
      </c>
      <c r="AQ38" s="19">
        <f>AQ9-AQ23</f>
        <v>-54404.721027389991</v>
      </c>
      <c r="AR38" s="19">
        <f>AR9-AR23</f>
        <v>30196.883282579998</v>
      </c>
      <c r="AS38" s="19">
        <f>AS9-AS23</f>
        <v>-11970.292144899999</v>
      </c>
      <c r="AT38" s="19">
        <f>AT9-AT23</f>
        <v>80012.898806199984</v>
      </c>
      <c r="AU38" s="19">
        <f>AU9-AU23</f>
        <v>11628.227797124666</v>
      </c>
      <c r="AV38" s="19">
        <f>AV9-AV23</f>
        <v>-16914.212793699997</v>
      </c>
      <c r="AW38" s="19">
        <f>AW9-AW23</f>
        <v>-19397.640298089995</v>
      </c>
      <c r="AX38" s="19">
        <f>AX9-AX23</f>
        <v>2356.4024571300033</v>
      </c>
      <c r="AY38" s="19">
        <f>AY9-AY23</f>
        <v>-3259.0939292399853</v>
      </c>
      <c r="AZ38" s="19">
        <f>AZ9-AZ23</f>
        <v>4215.1273519299866</v>
      </c>
      <c r="BA38" s="19">
        <f>BA9-BA23</f>
        <v>6264.5978752999963</v>
      </c>
      <c r="BB38" s="19">
        <v>11976.148839459995</v>
      </c>
      <c r="BC38" s="18">
        <f>SUM(AQ38:BB38)</f>
        <v>40704.326216404661</v>
      </c>
      <c r="BD38" s="19">
        <f>BD9-BD23</f>
        <v>-76816.411950490001</v>
      </c>
      <c r="BE38" s="19">
        <f>BE9-BE23</f>
        <v>27254.63755304</v>
      </c>
      <c r="BF38" s="19">
        <f>BF9-BF23</f>
        <v>8878.8086473100047</v>
      </c>
      <c r="BG38" s="19">
        <f>BG9-BG23</f>
        <v>25947.646318209994</v>
      </c>
      <c r="BH38" s="19">
        <f>BH9-BH23</f>
        <v>-6141.2125087800086</v>
      </c>
      <c r="BI38" s="19">
        <f>BI9-BI23</f>
        <v>48597.214409939988</v>
      </c>
      <c r="BJ38" s="19">
        <f>BJ9-BJ23</f>
        <v>-84092.755705510004</v>
      </c>
      <c r="BK38" s="19">
        <f>BK9-BK23</f>
        <v>16340.528451490005</v>
      </c>
      <c r="BL38" s="19">
        <f>BL9-BL23</f>
        <v>13298.622769989999</v>
      </c>
      <c r="BM38" s="19">
        <f>BM9-BM23</f>
        <v>-6663.9927371099948</v>
      </c>
      <c r="BN38" s="19">
        <f>BN9-BN23</f>
        <v>3387.7813913099963</v>
      </c>
      <c r="BO38" s="19">
        <f>BO9-BO23</f>
        <v>12961.900658980005</v>
      </c>
      <c r="BP38" s="18">
        <f>SUM(BD38:BO38)</f>
        <v>-17047.232701620022</v>
      </c>
      <c r="BQ38" s="19">
        <f>BQ9-BQ23</f>
        <v>-74612.75530183001</v>
      </c>
      <c r="BR38" s="19">
        <f>BR9-BR23</f>
        <v>19055.540477929972</v>
      </c>
      <c r="BS38" s="19">
        <f>BS9-BS23</f>
        <v>-1291.9196760699961</v>
      </c>
      <c r="BT38" s="19">
        <f>BT9-BT23</f>
        <v>4437.8161794038497</v>
      </c>
      <c r="BU38" s="19">
        <f>BU9-BU23</f>
        <v>19968.470031219997</v>
      </c>
      <c r="BV38" s="19">
        <f>BV9-BV23</f>
        <v>34772.068287499991</v>
      </c>
      <c r="BW38" s="19">
        <f>BW9-BW23</f>
        <v>-107397.64091303002</v>
      </c>
      <c r="BX38" s="19">
        <f>BX9-BX23</f>
        <v>-28317.500073490017</v>
      </c>
      <c r="BY38" s="19">
        <f>BY9-BY23</f>
        <v>23581.922610859991</v>
      </c>
      <c r="BZ38" s="19">
        <f>BZ9-BZ23</f>
        <v>22816.174604179996</v>
      </c>
      <c r="CA38" s="19">
        <f>CA9-CA23</f>
        <v>1113.5981651200127</v>
      </c>
      <c r="CB38" s="19">
        <v>25618.058414480001</v>
      </c>
      <c r="CC38" s="18">
        <f>SUM(BQ38:CB38)</f>
        <v>-60256.167193726236</v>
      </c>
      <c r="CD38" s="19">
        <f>CD9-CD23</f>
        <v>-96103.487022279965</v>
      </c>
      <c r="CE38" s="19">
        <f>CE9-CE23</f>
        <v>10425.223581689997</v>
      </c>
      <c r="CF38" s="19">
        <f>CF9-CF23</f>
        <v>-28180.607437189989</v>
      </c>
      <c r="CG38" s="19">
        <f>CG9-CG23</f>
        <v>-15611.631123769985</v>
      </c>
      <c r="CH38" s="19">
        <f>CH9-CH23</f>
        <v>-27839.747572180007</v>
      </c>
      <c r="CI38" s="19">
        <f>CI9-CI23</f>
        <v>39005.353550100015</v>
      </c>
      <c r="CJ38" s="19">
        <f>CJ9-CJ23</f>
        <v>-45856.93183554001</v>
      </c>
      <c r="CK38" s="19">
        <f>CK9-CK23</f>
        <v>17545.218863159655</v>
      </c>
      <c r="CL38" s="19">
        <f>CL9-CL23</f>
        <v>-13513.753203060005</v>
      </c>
      <c r="CM38" s="19">
        <f>CM9-CM23</f>
        <v>18620.836094690007</v>
      </c>
      <c r="CN38" s="19">
        <f>CN9-CN23</f>
        <v>20655.611095093482</v>
      </c>
      <c r="CO38" s="19">
        <f>CO9-CO23</f>
        <v>37157.631483810008</v>
      </c>
      <c r="CP38" s="18">
        <f>+SUM(CD38:CO38)</f>
        <v>-83696.283525476829</v>
      </c>
      <c r="CQ38" s="19">
        <f>CQ9-CQ23</f>
        <v>-98442.723749205616</v>
      </c>
      <c r="CR38" s="19">
        <f>CR9-CR23</f>
        <v>8189.0242342910497</v>
      </c>
      <c r="CS38" s="19">
        <f>CS9-CS23</f>
        <v>-3214.1367554800163</v>
      </c>
      <c r="CT38" s="19">
        <f>CT9-CT23</f>
        <v>-50364.327413390012</v>
      </c>
      <c r="CU38" s="19">
        <f>CU9-CU23</f>
        <v>51238.967403910006</v>
      </c>
      <c r="CV38" s="19">
        <f>CV9-CV23</f>
        <v>65055.948718210006</v>
      </c>
      <c r="CW38" s="19">
        <f>CW9-CW23</f>
        <v>-48435.167902920002</v>
      </c>
      <c r="CX38" s="19">
        <f>CX9-CX23</f>
        <v>-21672.552128310017</v>
      </c>
      <c r="CY38" s="19">
        <f>CY9-CY23</f>
        <v>-14993.592145330018</v>
      </c>
      <c r="CZ38" s="19">
        <f>CZ9-CZ23</f>
        <v>-48418.727186090015</v>
      </c>
      <c r="DA38" s="19">
        <f>DA9-DA23</f>
        <v>30151.378100630005</v>
      </c>
      <c r="DB38" s="19">
        <f>DB9-DB23</f>
        <v>62017.344410520003</v>
      </c>
      <c r="DC38" s="18">
        <f>+SUM(CQ38:DB38)</f>
        <v>-68888.56441316464</v>
      </c>
      <c r="DD38" s="19">
        <f>DD9-DD23</f>
        <v>-67482.943477190012</v>
      </c>
      <c r="DE38" s="19">
        <f>DE9-DE23</f>
        <v>51117.060927919993</v>
      </c>
      <c r="DF38" s="19">
        <f>DF9-DF23</f>
        <v>73629.835514449995</v>
      </c>
      <c r="DG38" s="19">
        <f>DG9-DG23</f>
        <v>-9771.6951995899872</v>
      </c>
      <c r="DH38" s="19">
        <f>DH9-DH23</f>
        <v>13551.419199510012</v>
      </c>
      <c r="DI38" s="19">
        <f>DI9-DI23</f>
        <v>65149.708801019988</v>
      </c>
      <c r="DJ38" s="19">
        <f>DJ9-DJ23</f>
        <v>-16719.30330971002</v>
      </c>
      <c r="DK38" s="19">
        <f>DK9-DK23</f>
        <v>49949.400957013931</v>
      </c>
      <c r="DL38" s="19">
        <f>DL9-DL23</f>
        <v>13429.491774979993</v>
      </c>
      <c r="DM38" s="19">
        <f>DM9-DM23</f>
        <v>-110643.57448850502</v>
      </c>
      <c r="DN38" s="19">
        <f>DN9-DN23</f>
        <v>43183.062035929048</v>
      </c>
      <c r="DO38" s="19">
        <f>DO9-DO23</f>
        <v>44468.820295712343</v>
      </c>
      <c r="DP38" s="18">
        <f>+SUM(DD38:DO38)</f>
        <v>149861.28303154022</v>
      </c>
      <c r="DQ38" s="19">
        <f>DQ9-DQ23</f>
        <v>-73189.734618889983</v>
      </c>
      <c r="DR38" s="19">
        <f>DR9-DR23</f>
        <v>39435.785871290005</v>
      </c>
      <c r="DS38" s="19">
        <f>DS9-DS23</f>
        <v>45031.828181299999</v>
      </c>
      <c r="DT38" s="19">
        <f>DT9-DT23</f>
        <v>-107982.18223785996</v>
      </c>
      <c r="DU38" s="19">
        <f>DU9-DU23</f>
        <v>44692.983368499998</v>
      </c>
      <c r="DV38" s="19">
        <f>DV9-DV23</f>
        <v>62420.113762419998</v>
      </c>
      <c r="DW38" s="19">
        <f>DW9-DW23</f>
        <v>-33477.318831069999</v>
      </c>
      <c r="DX38" s="19">
        <f>DX9-DX23</f>
        <v>-33182.62034150002</v>
      </c>
      <c r="DY38" s="19">
        <f>DY9-DY23</f>
        <v>62123.002040440013</v>
      </c>
      <c r="DZ38" s="19">
        <f>DZ9-DZ23</f>
        <v>-35590.329450650024</v>
      </c>
      <c r="EA38" s="19">
        <f>EA9-EA23</f>
        <v>25298.637614489999</v>
      </c>
      <c r="EB38" s="19">
        <f>EB9-EB23</f>
        <v>-4016.7692987600167</v>
      </c>
      <c r="EC38" s="18">
        <f>+SUM(DQ38:EB38)</f>
        <v>-8436.6039402899842</v>
      </c>
      <c r="ED38" s="19">
        <f>ED9-ED23</f>
        <v>-75388.921982450003</v>
      </c>
      <c r="EE38" s="19">
        <f>EE9-EE23</f>
        <v>58272.651656949995</v>
      </c>
      <c r="EF38" s="19">
        <f>EF9-EF23</f>
        <v>63340.642381600002</v>
      </c>
      <c r="EG38" s="19">
        <f>EG9-EG23</f>
        <v>-12368.544969329996</v>
      </c>
      <c r="EH38" s="19">
        <f>EH9-EH23</f>
        <v>-18737.986708889999</v>
      </c>
      <c r="EI38" s="19">
        <f>EI9-EI23</f>
        <v>72185.833311779992</v>
      </c>
      <c r="EJ38" s="19">
        <f>EJ9-EJ23</f>
        <v>-31407.12455695001</v>
      </c>
      <c r="EK38" s="19">
        <f>EK9-EK23</f>
        <v>33083.326489640007</v>
      </c>
      <c r="EL38" s="19">
        <f>EL9-EL23</f>
        <v>-460.63941675000387</v>
      </c>
      <c r="EM38" s="19">
        <f>EM9-EM23</f>
        <v>-25609.201657350008</v>
      </c>
      <c r="EN38" s="19">
        <f>EN9-EN23</f>
        <v>35742.193654880008</v>
      </c>
      <c r="EO38" s="19">
        <f>EO9-EO23</f>
        <v>36117.877589509997</v>
      </c>
      <c r="EP38" s="18">
        <f>+SUM(ED38:EO38)</f>
        <v>134770.10579264001</v>
      </c>
      <c r="EQ38" s="19">
        <f>EQ9-EQ23</f>
        <v>-55533.98887791999</v>
      </c>
      <c r="ER38" s="19">
        <f>ER9-ER23</f>
        <v>28912.188495010007</v>
      </c>
      <c r="ES38" s="19">
        <f>ES9-ES23</f>
        <v>24108.008802329983</v>
      </c>
      <c r="ET38" s="19">
        <f>ET9-ET23</f>
        <v>-6332.9433199300256</v>
      </c>
      <c r="EU38" s="19">
        <f>EU9-EU23</f>
        <v>20102.189514609992</v>
      </c>
      <c r="EV38" s="19">
        <f>EV9-EV23</f>
        <v>576.03098818000217</v>
      </c>
      <c r="EW38" s="19">
        <f>EW9-EW23</f>
        <v>-29762.184778250012</v>
      </c>
      <c r="EX38" s="19">
        <f>EX9-EX23</f>
        <v>-5564.5295078399795</v>
      </c>
      <c r="EY38" s="19">
        <f>EY9-EY23</f>
        <v>-26772.260274519984</v>
      </c>
      <c r="EZ38" s="19">
        <f>EZ9-EZ23</f>
        <v>-32806.28567706998</v>
      </c>
      <c r="FA38" s="19">
        <f>FA9-FA23</f>
        <v>34487.813075210011</v>
      </c>
      <c r="FB38" s="19">
        <f>FB9-FB23</f>
        <v>28213.084220299999</v>
      </c>
      <c r="FC38" s="18">
        <f>+SUM(EQ38:FB38)</f>
        <v>-20372.877339889972</v>
      </c>
      <c r="FD38" s="19">
        <f>FD9-FD23</f>
        <v>-83809.077620839962</v>
      </c>
      <c r="FE38" s="19">
        <f>FE9-FE23</f>
        <v>36497.831175300009</v>
      </c>
      <c r="FF38" s="19">
        <f>FF9-FF23</f>
        <v>2943.7175705099799</v>
      </c>
      <c r="FG38" s="19">
        <f>FG9-FG23</f>
        <v>-69357.136774479994</v>
      </c>
      <c r="FH38" s="19">
        <f>FH9-FH23</f>
        <v>-16033.344243579981</v>
      </c>
      <c r="FI38" s="19">
        <f>FI9-FI23</f>
        <v>68403.826271519996</v>
      </c>
      <c r="FJ38" s="19">
        <f>FJ9-FJ23</f>
        <v>-5711.6588308400096</v>
      </c>
      <c r="FK38" s="19">
        <f>FK9-FK23</f>
        <v>39939.943113760004</v>
      </c>
      <c r="FL38" s="19">
        <f>FL9-FL23</f>
        <v>57106.816055659998</v>
      </c>
      <c r="FM38" s="19">
        <f>FM9-FM23</f>
        <v>-51573.38874349001</v>
      </c>
      <c r="FN38" s="19">
        <f>FN9-FN23</f>
        <v>41812.315334919993</v>
      </c>
      <c r="FO38" s="19">
        <f>FO9-FO23</f>
        <v>19065.01787625</v>
      </c>
      <c r="FP38" s="18">
        <f>+SUM(FD38:FO38)</f>
        <v>39284.861184690031</v>
      </c>
      <c r="FQ38" s="19">
        <f>FQ9-FQ23</f>
        <v>-55429.530859169987</v>
      </c>
      <c r="FR38" s="19">
        <f>FR9-FR23</f>
        <v>20523.504894710004</v>
      </c>
      <c r="FS38" s="19">
        <f>FS9-FS23</f>
        <v>-121884.58824469999</v>
      </c>
      <c r="FT38" s="19">
        <f>FT9-FT23</f>
        <v>-81825.063261459989</v>
      </c>
      <c r="FU38" s="19">
        <f>FU9-FU23</f>
        <v>73937.568906450018</v>
      </c>
      <c r="FV38" s="19">
        <f>FV9-FV23</f>
        <v>99180.708868850008</v>
      </c>
      <c r="FW38" s="19">
        <f>FW9-FW23</f>
        <v>-54750.069457219972</v>
      </c>
      <c r="FX38" s="19">
        <f>FX9-FX23</f>
        <v>32198.4173113</v>
      </c>
      <c r="FY38" s="19">
        <f>FY9-FY23</f>
        <v>80550.390321140017</v>
      </c>
      <c r="FZ38" s="19">
        <f>FZ9-FZ23</f>
        <v>76787.800827739979</v>
      </c>
      <c r="GA38" s="19">
        <f>GA9-GA23</f>
        <v>140072.90164047002</v>
      </c>
      <c r="GB38" s="19">
        <f>GB9-GB23</f>
        <v>180841.75758948002</v>
      </c>
      <c r="GC38" s="18">
        <f>+SUM(FQ38:GB38)</f>
        <v>390203.79853759013</v>
      </c>
      <c r="GD38" s="19">
        <f>GD9-GD23</f>
        <v>25409.941933329974</v>
      </c>
      <c r="GE38" s="19">
        <f>GE9-GE23</f>
        <v>104870.91683192001</v>
      </c>
      <c r="GF38" s="19">
        <f>GF9-GF23</f>
        <v>1111.9285342500079</v>
      </c>
      <c r="GG38" s="19">
        <f>GG9-GG23</f>
        <v>-159455.03312612011</v>
      </c>
      <c r="GH38" s="19">
        <f>GH9-GH23</f>
        <v>58301.387472899965</v>
      </c>
      <c r="GI38" s="19">
        <f>GI9-GI23</f>
        <v>133425.42974849997</v>
      </c>
      <c r="GJ38" s="19">
        <f>GJ9-GJ23</f>
        <v>16140.598883979983</v>
      </c>
      <c r="GK38" s="19">
        <f>GK9-GK23</f>
        <v>44781.057118209996</v>
      </c>
      <c r="GL38" s="19">
        <f>GL9-GL23</f>
        <v>-90256.010973130004</v>
      </c>
      <c r="GM38" s="19">
        <f>GM9-GM23</f>
        <v>-124999.50436841001</v>
      </c>
      <c r="GN38" s="19">
        <f>GN9-GN23</f>
        <v>84999.078931619995</v>
      </c>
      <c r="GO38" s="19">
        <f>GO9-GO23</f>
        <v>68910.072496460009</v>
      </c>
      <c r="GP38" s="18">
        <f>+SUM(GD38:GO38)</f>
        <v>163239.86348350981</v>
      </c>
      <c r="GQ38" s="19">
        <f>GQ9-GQ23</f>
        <v>-24345.300475949989</v>
      </c>
      <c r="GR38" s="19">
        <f>GR9-GR23</f>
        <v>78642.422640100005</v>
      </c>
      <c r="GS38" s="19">
        <f>GS9-GS23</f>
        <v>-204305.65233223996</v>
      </c>
      <c r="GT38" s="19">
        <f>GT9-GT23</f>
        <v>-39930.020425269977</v>
      </c>
      <c r="GU38" s="19">
        <f>GU9-GU23</f>
        <v>65396.273130460017</v>
      </c>
      <c r="GV38" s="19">
        <f>GV9-GV23</f>
        <v>67325.306342719981</v>
      </c>
      <c r="GW38" s="19">
        <f>GW9-GW23</f>
        <v>-78489.464395050018</v>
      </c>
      <c r="GX38" s="19">
        <f>GX9-GX23</f>
        <v>-56534.836328210018</v>
      </c>
      <c r="GY38" s="19">
        <f>GY9-GY23</f>
        <v>-76072.282833040023</v>
      </c>
      <c r="GZ38" s="19">
        <f>GZ9-GZ23</f>
        <v>-8335.1525485500024</v>
      </c>
      <c r="HA38" s="19">
        <f>HA9-HA23</f>
        <v>39811.090600609998</v>
      </c>
      <c r="HB38" s="19">
        <f>HB9-HB23</f>
        <v>26610.646332079996</v>
      </c>
      <c r="HC38" s="18">
        <f>+SUM(GQ38:HB38)</f>
        <v>-210226.97029233997</v>
      </c>
      <c r="HD38" s="19">
        <f>HD9-HD23</f>
        <v>-216002.74614648998</v>
      </c>
      <c r="HE38" s="19">
        <f>HE9-HE23</f>
        <v>33496.702647809994</v>
      </c>
      <c r="HF38" s="19">
        <f>HF9-HF23</f>
        <v>-19746.326432680013</v>
      </c>
      <c r="HG38" s="19">
        <f>HG9-HG23</f>
        <v>82119.475188099983</v>
      </c>
      <c r="HH38" s="19">
        <f>HH9-HH23</f>
        <v>-74683.802284969977</v>
      </c>
      <c r="HI38" s="19">
        <f>HI9-HI23</f>
        <v>145326.28797256999</v>
      </c>
      <c r="HJ38" s="19">
        <f>HJ9-HJ23</f>
        <v>-89859.453998659999</v>
      </c>
      <c r="HK38" s="19">
        <f>HK9-HK23</f>
        <v>59733.541404879994</v>
      </c>
      <c r="HL38" s="19">
        <f>HL9-HL23</f>
        <v>-243535.60375583003</v>
      </c>
      <c r="HM38" s="19">
        <f>HM9-HM23</f>
        <v>46116.343240039991</v>
      </c>
      <c r="HN38" s="19">
        <f>HN9-HN23</f>
        <v>99944.676389029992</v>
      </c>
      <c r="HO38" s="19">
        <f>HO9-HO23</f>
        <v>136862.55200082998</v>
      </c>
      <c r="HP38" s="18">
        <f>+SUM(HD38:HO38)</f>
        <v>-40228.35377537008</v>
      </c>
      <c r="HQ38" s="19">
        <f>HQ9-HQ23</f>
        <v>-147911.31407557003</v>
      </c>
      <c r="HR38" s="19">
        <f>HR9-HR23</f>
        <v>90753.159248719996</v>
      </c>
      <c r="HS38" s="19">
        <f>HS9-HS23</f>
        <v>-12283.319850399974</v>
      </c>
      <c r="HT38" s="19">
        <f>HT9-HT23</f>
        <v>10179.129379170001</v>
      </c>
      <c r="HU38" s="19">
        <f>HU9-HU23</f>
        <v>147327.47057605998</v>
      </c>
      <c r="HV38" s="19">
        <f>HV9-HV23</f>
        <v>72359.703631120006</v>
      </c>
      <c r="HW38" s="19">
        <f>HW9-HW23</f>
        <v>10685.023900010012</v>
      </c>
      <c r="HX38" s="19">
        <f>HX9-HX23</f>
        <v>-163168.26244575996</v>
      </c>
      <c r="HY38" s="19">
        <f>HY9-HY23</f>
        <v>-126001.82579396997</v>
      </c>
      <c r="HZ38" s="19">
        <f>HZ9-HZ23</f>
        <v>42504.130210720003</v>
      </c>
      <c r="IA38" s="19">
        <f>IA9-IA23</f>
        <v>56880.828856330001</v>
      </c>
      <c r="IB38" s="19">
        <f>IB9-IB23</f>
        <v>43495.552116149993</v>
      </c>
      <c r="IC38" s="18">
        <f>+SUM(HQ38:IB38)</f>
        <v>24820.275752580055</v>
      </c>
      <c r="ID38" s="19">
        <f>ID9-ID23</f>
        <v>-79973.553628019959</v>
      </c>
      <c r="IE38" s="19">
        <f>IE9-IE23</f>
        <v>155945.19636855999</v>
      </c>
      <c r="IF38" s="19">
        <f>IF9-IF23</f>
        <v>-52989.468379840022</v>
      </c>
      <c r="IG38" s="19">
        <f>IG9-IG23</f>
        <v>41420.905183919996</v>
      </c>
      <c r="IH38" s="19">
        <f>IH9-IH23</f>
        <v>-25025.192944570037</v>
      </c>
      <c r="II38" s="19">
        <f>II9-II23</f>
        <v>154617.06277913999</v>
      </c>
      <c r="IJ38" s="19">
        <f>IJ9-IJ23</f>
        <v>-31038.052673289989</v>
      </c>
      <c r="IK38" s="19">
        <f>IK9-IK23</f>
        <v>136943.78568695</v>
      </c>
      <c r="IL38" s="19">
        <f>IL9-IL23</f>
        <v>-100055.21094262</v>
      </c>
      <c r="IM38" s="19">
        <f>IM9-IM23</f>
        <v>42734.717694769992</v>
      </c>
      <c r="IN38" s="19">
        <f>IN9-IN23</f>
        <v>142437.32089753001</v>
      </c>
      <c r="IO38" s="19">
        <f>IO9-IO23</f>
        <v>60820.049333199997</v>
      </c>
      <c r="IP38" s="18">
        <f>+SUM(ID38:IO38)</f>
        <v>445837.55937572988</v>
      </c>
      <c r="IQ38" s="19">
        <f>IQ9-IQ23</f>
        <v>-67021.489103800006</v>
      </c>
      <c r="IR38" s="19">
        <f>IR9-IR23</f>
        <v>102807.55324884999</v>
      </c>
      <c r="IS38" s="19">
        <f>IS9-IS23</f>
        <v>-302315.53432434</v>
      </c>
      <c r="IT38" s="19">
        <f>IT9-IT23</f>
        <v>68038.807871810015</v>
      </c>
      <c r="IU38" s="19">
        <f>IU9-IU23</f>
        <v>135615.18050439999</v>
      </c>
      <c r="IV38" s="19">
        <f>IV9-IV23</f>
        <v>143353.25541409</v>
      </c>
      <c r="IW38" s="19">
        <f>IW9-IW23</f>
        <v>-61914.675455940043</v>
      </c>
      <c r="IX38" s="19">
        <f>IX9-IX23</f>
        <v>-83900.822116349969</v>
      </c>
      <c r="IY38" s="18">
        <f>+SUM(IQ38:IX38)</f>
        <v>-65337.723961280048</v>
      </c>
    </row>
    <row r="39" spans="1:259" s="11" customFormat="1" ht="20.100000000000001" customHeight="1" x14ac:dyDescent="0.25">
      <c r="A39" s="20" t="s">
        <v>5</v>
      </c>
      <c r="B39" s="19">
        <v>-836.41513166658433</v>
      </c>
      <c r="C39" s="19">
        <v>318.14382799999998</v>
      </c>
      <c r="D39" s="19">
        <v>-2858.5904106200001</v>
      </c>
      <c r="E39" s="19">
        <v>-1037.4873776883819</v>
      </c>
      <c r="F39" s="19">
        <v>-1644.651287198511</v>
      </c>
      <c r="G39" s="19">
        <v>-1458.9345427815269</v>
      </c>
      <c r="H39" s="19">
        <v>-4107.5125866327835</v>
      </c>
      <c r="I39" s="19">
        <v>487.14663086498899</v>
      </c>
      <c r="J39" s="19">
        <v>-7308.1837851783584</v>
      </c>
      <c r="K39" s="19">
        <v>-924.95366639812187</v>
      </c>
      <c r="L39" s="19">
        <v>-2970.7292016713936</v>
      </c>
      <c r="M39" s="19">
        <v>-2750.3430392186078</v>
      </c>
      <c r="N39" s="19">
        <v>-1586.2790695872343</v>
      </c>
      <c r="O39" s="19">
        <v>-1609.387780897627</v>
      </c>
      <c r="P39" s="18">
        <f>SUM(D39:O39)</f>
        <v>-27769.906117007566</v>
      </c>
      <c r="Q39" s="19">
        <v>-1912.4459698869989</v>
      </c>
      <c r="R39" s="19">
        <v>-1065.213686114666</v>
      </c>
      <c r="S39" s="19">
        <v>-2513.467244854638</v>
      </c>
      <c r="T39" s="19">
        <v>-3450.540130264148</v>
      </c>
      <c r="U39" s="19">
        <v>467.32887571402102</v>
      </c>
      <c r="V39" s="19">
        <f>V17-V33</f>
        <v>-446.38123189951409</v>
      </c>
      <c r="W39" s="19">
        <f>W17-W33</f>
        <v>-1897.253241209886</v>
      </c>
      <c r="X39" s="19">
        <f>X17-X33</f>
        <v>-639.80477585340714</v>
      </c>
      <c r="Y39" s="19">
        <f>Y17-Y33</f>
        <v>-1207.2107438896489</v>
      </c>
      <c r="Z39" s="19">
        <f>Z17-Z33</f>
        <v>-988.02970271969377</v>
      </c>
      <c r="AA39" s="19">
        <f>AA17-AA33</f>
        <v>-1167.2404616142978</v>
      </c>
      <c r="AB39" s="19">
        <f>AB17-AB33</f>
        <v>-147.69449870648299</v>
      </c>
      <c r="AC39" s="18">
        <f>SUM(Q39:AB39)</f>
        <v>-14967.952811299359</v>
      </c>
      <c r="AD39" s="19">
        <f>AD17-AD33</f>
        <v>-176.98019493910806</v>
      </c>
      <c r="AE39" s="19">
        <f>AE17-AE33</f>
        <v>-1156.9155498318639</v>
      </c>
      <c r="AF39" s="19">
        <f>AF17-AF33</f>
        <v>-1423.9904654477668</v>
      </c>
      <c r="AG39" s="19">
        <f>AG17-AG33</f>
        <v>-1995.3325693318934</v>
      </c>
      <c r="AH39" s="19">
        <f>AH17-AH33</f>
        <v>626.48852901239002</v>
      </c>
      <c r="AI39" s="19">
        <f>AI17-AI33</f>
        <v>-1048.4495754361071</v>
      </c>
      <c r="AJ39" s="19">
        <f>AJ17-AJ33</f>
        <v>-2495.1919573300493</v>
      </c>
      <c r="AK39" s="19">
        <f>AK17-AK33</f>
        <v>332.52964846994189</v>
      </c>
      <c r="AL39" s="19">
        <f>AL17-AL33</f>
        <v>-1492.6465011530806</v>
      </c>
      <c r="AM39" s="19">
        <f>AM17-AM33</f>
        <v>-1155.1401476656351</v>
      </c>
      <c r="AN39" s="19">
        <f>AN17-AN33</f>
        <v>-1200.4339547261588</v>
      </c>
      <c r="AO39" s="19">
        <f>AO17-AO33</f>
        <v>-2812.8159016790296</v>
      </c>
      <c r="AP39" s="18">
        <f>SUM(AD39:AO39)</f>
        <v>-13998.878640058359</v>
      </c>
      <c r="AQ39" s="19">
        <f>AQ17-AQ33</f>
        <v>-2334.5035343025229</v>
      </c>
      <c r="AR39" s="19">
        <f>AR17-AR33</f>
        <v>-2108.9366192748344</v>
      </c>
      <c r="AS39" s="19">
        <f>AS17-AS33</f>
        <v>-2367.0053801922281</v>
      </c>
      <c r="AT39" s="19">
        <f>AT17-AT33</f>
        <v>-247.0755143145891</v>
      </c>
      <c r="AU39" s="19">
        <f>AU17-AU33</f>
        <v>-1486.812931610242</v>
      </c>
      <c r="AV39" s="19">
        <f>AV17-AV33</f>
        <v>1078.5788336306541</v>
      </c>
      <c r="AW39" s="19">
        <f>AW17-AW33</f>
        <v>-3027.6033044052506</v>
      </c>
      <c r="AX39" s="19">
        <f>AX17-AX33</f>
        <v>924.59075048925695</v>
      </c>
      <c r="AY39" s="19">
        <f>AY17-AY33</f>
        <v>-253.75109354120787</v>
      </c>
      <c r="AZ39" s="19">
        <f>AZ17-AZ33</f>
        <v>-816.23503498220998</v>
      </c>
      <c r="BA39" s="19">
        <f>BA17-BA33</f>
        <v>-1580.6150085219895</v>
      </c>
      <c r="BB39" s="19">
        <v>-936.96363480625314</v>
      </c>
      <c r="BC39" s="18">
        <f>SUM(AQ39:BB39)</f>
        <v>-13156.332471831418</v>
      </c>
      <c r="BD39" s="19">
        <f>BD17-BD33</f>
        <v>-4228.5694071615499</v>
      </c>
      <c r="BE39" s="19">
        <f>BE17-BE33</f>
        <v>-763.322161244055</v>
      </c>
      <c r="BF39" s="19">
        <f>BF17-BF33</f>
        <v>-2008.7900266848562</v>
      </c>
      <c r="BG39" s="19">
        <f>BG17-BG33</f>
        <v>-626.05675163320905</v>
      </c>
      <c r="BH39" s="19">
        <f>BH17-BH33</f>
        <v>-1382.1624530047977</v>
      </c>
      <c r="BI39" s="19">
        <f>BI17-BI33</f>
        <v>-5291.8073784132685</v>
      </c>
      <c r="BJ39" s="19">
        <f>BJ17-BJ33</f>
        <v>-1984.2576592580576</v>
      </c>
      <c r="BK39" s="19">
        <f>BK17-BK33</f>
        <v>-1140.7199413250801</v>
      </c>
      <c r="BL39" s="19">
        <f>BL17-BL33</f>
        <v>-1624.6964188054471</v>
      </c>
      <c r="BM39" s="19">
        <f>BM17-BM33</f>
        <v>-5160.7805009975173</v>
      </c>
      <c r="BN39" s="19">
        <f>BN17-BN33</f>
        <v>2277.5261777062169</v>
      </c>
      <c r="BO39" s="19">
        <f>BO17-BO33</f>
        <v>-220.19023605539201</v>
      </c>
      <c r="BP39" s="18">
        <f>SUM(BD39:BO39)</f>
        <v>-22153.826756877013</v>
      </c>
      <c r="BQ39" s="19">
        <f>BQ17-BQ33</f>
        <v>-1548.2264764824997</v>
      </c>
      <c r="BR39" s="19">
        <f>BR17-BR33</f>
        <v>-406.05856082000003</v>
      </c>
      <c r="BS39" s="19">
        <f>BS17-BS33</f>
        <v>-689.20515847999991</v>
      </c>
      <c r="BT39" s="19">
        <f>BT17-BT33</f>
        <v>2528.89554714</v>
      </c>
      <c r="BU39" s="19">
        <f>BU17-BU33</f>
        <v>-2435.4568145731846</v>
      </c>
      <c r="BV39" s="19">
        <f>BV17-BV33</f>
        <v>-548.64682344000016</v>
      </c>
      <c r="BW39" s="19">
        <f>BW17-BW33</f>
        <v>-2060.5176082600001</v>
      </c>
      <c r="BX39" s="19">
        <f>BX17-BX33</f>
        <v>-258.59682001000004</v>
      </c>
      <c r="BY39" s="19">
        <f>BY17-BY33</f>
        <v>-53.895484741449764</v>
      </c>
      <c r="BZ39" s="19">
        <f>BZ17-BZ33</f>
        <v>-389.48749386999992</v>
      </c>
      <c r="CA39" s="19">
        <f>CA17-CA33</f>
        <v>-198.81756510004499</v>
      </c>
      <c r="CB39" s="19">
        <v>-36.890787620000076</v>
      </c>
      <c r="CC39" s="18">
        <f>SUM(BQ39:CB39)</f>
        <v>-6096.9040462571784</v>
      </c>
      <c r="CD39" s="19">
        <f>CD17-CD33</f>
        <v>-2074.1792070900001</v>
      </c>
      <c r="CE39" s="19">
        <f>CE17-CE33</f>
        <v>-440.85782320999994</v>
      </c>
      <c r="CF39" s="19">
        <f>CF17-CF33</f>
        <v>-804.66820523000013</v>
      </c>
      <c r="CG39" s="19">
        <f>CG17-CG33</f>
        <v>-528.56952709800009</v>
      </c>
      <c r="CH39" s="19">
        <f>CH17-CH33</f>
        <v>603.63483700082406</v>
      </c>
      <c r="CI39" s="19">
        <f>CI17-CI33</f>
        <v>-7267.7005993452494</v>
      </c>
      <c r="CJ39" s="19">
        <f>CJ17-CJ33</f>
        <v>-1488.4179815267016</v>
      </c>
      <c r="CK39" s="19">
        <f>CK17-CK33</f>
        <v>-266.80121272000002</v>
      </c>
      <c r="CL39" s="19">
        <f>CL17-CL33</f>
        <v>-325.13073138999999</v>
      </c>
      <c r="CM39" s="19">
        <f>CM17-CM33</f>
        <v>-3356.4198301200004</v>
      </c>
      <c r="CN39" s="19">
        <f>CN17-CN33</f>
        <v>2073.5234807800007</v>
      </c>
      <c r="CO39" s="19">
        <f>CO17-CO33</f>
        <v>-5625.4581020600008</v>
      </c>
      <c r="CP39" s="18">
        <f>+SUM(CD39:CO39)</f>
        <v>-19501.044902009129</v>
      </c>
      <c r="CQ39" s="19">
        <f>CQ17-CQ33</f>
        <v>-1661.3970852900002</v>
      </c>
      <c r="CR39" s="19">
        <f>CR17-CR33</f>
        <v>-1719.5517015399996</v>
      </c>
      <c r="CS39" s="19">
        <f>CS17-CS33</f>
        <v>-88.24057439000002</v>
      </c>
      <c r="CT39" s="19">
        <f>CT17-CT33</f>
        <v>2758.8760368600001</v>
      </c>
      <c r="CU39" s="19">
        <f>CU17-CU33</f>
        <v>-257.97079683999999</v>
      </c>
      <c r="CV39" s="19">
        <f>CV17-CV33</f>
        <v>-809.78850131999991</v>
      </c>
      <c r="CW39" s="19">
        <f>CW17-CW33</f>
        <v>-3098.0188050399997</v>
      </c>
      <c r="CX39" s="19">
        <f>CX17-CX33</f>
        <v>2857.1326382699999</v>
      </c>
      <c r="CY39" s="19">
        <f>CY17-CY33</f>
        <v>2182.4050760025002</v>
      </c>
      <c r="CZ39" s="19">
        <f>CZ17-CZ33</f>
        <v>-270.55520832999991</v>
      </c>
      <c r="DA39" s="19">
        <f>DA17-DA33</f>
        <v>-500.57797675</v>
      </c>
      <c r="DB39" s="19">
        <f>DB17-DB33</f>
        <v>-732.45211602999984</v>
      </c>
      <c r="DC39" s="18">
        <f>+SUM(CQ39:DB39)</f>
        <v>-1340.1390143974986</v>
      </c>
      <c r="DD39" s="19">
        <f>DD17-DD33</f>
        <v>-2463.2010248199999</v>
      </c>
      <c r="DE39" s="19">
        <f>DE17-DE33</f>
        <v>-1995.7914779599998</v>
      </c>
      <c r="DF39" s="19">
        <f>DF17-DF33</f>
        <v>-3439.7929316300001</v>
      </c>
      <c r="DG39" s="19">
        <f>DG17-DG33</f>
        <v>-657.62053773000002</v>
      </c>
      <c r="DH39" s="19">
        <f>DH17-DH33</f>
        <v>-442.23436469000001</v>
      </c>
      <c r="DI39" s="19">
        <f>DI17-DI33</f>
        <v>-1091.2961059199999</v>
      </c>
      <c r="DJ39" s="19">
        <f>DJ17-DJ33</f>
        <v>-3098.81516736</v>
      </c>
      <c r="DK39" s="19">
        <f>DK17-DK33</f>
        <v>-4507.8124132000003</v>
      </c>
      <c r="DL39" s="19">
        <f>DL17-DL33</f>
        <v>18.730521419999945</v>
      </c>
      <c r="DM39" s="19">
        <f>DM17-DM33</f>
        <v>-303.89205989000004</v>
      </c>
      <c r="DN39" s="19">
        <f>DN17-DN33</f>
        <v>-730.82058051000001</v>
      </c>
      <c r="DO39" s="19">
        <f>DO17-DO33</f>
        <v>-1715.83703378</v>
      </c>
      <c r="DP39" s="18">
        <f>+SUM(DD39:DO39)</f>
        <v>-20428.383176070005</v>
      </c>
      <c r="DQ39" s="19">
        <f>DQ17-DQ33</f>
        <v>-5188.6530549299996</v>
      </c>
      <c r="DR39" s="19">
        <f>DR17-DR33</f>
        <v>-361.74524106282001</v>
      </c>
      <c r="DS39" s="19">
        <f>DS17-DS33</f>
        <v>4576.574561879841</v>
      </c>
      <c r="DT39" s="19">
        <f>DT17-DT33</f>
        <v>-530.15135861772001</v>
      </c>
      <c r="DU39" s="19">
        <f>DU17-DU33</f>
        <v>-373.12208340889003</v>
      </c>
      <c r="DV39" s="19">
        <f>DV17-DV33</f>
        <v>-1159.40169691556</v>
      </c>
      <c r="DW39" s="19">
        <f>DW17-DW33</f>
        <v>1904.2493835623604</v>
      </c>
      <c r="DX39" s="19">
        <f>DX17-DX33</f>
        <v>10.256299528299991</v>
      </c>
      <c r="DY39" s="19">
        <f>DY17-DY33</f>
        <v>-137.35530946656999</v>
      </c>
      <c r="DZ39" s="19">
        <f>DZ17-DZ33</f>
        <v>-447.51460248822997</v>
      </c>
      <c r="EA39" s="19">
        <f>EA17-EA33</f>
        <v>-387.88938728900996</v>
      </c>
      <c r="EB39" s="19">
        <f>EB17-EB33</f>
        <v>16.935105050030074</v>
      </c>
      <c r="EC39" s="18">
        <f>+SUM(DQ39:EB39)</f>
        <v>-2077.8173841582684</v>
      </c>
      <c r="ED39" s="19">
        <f>ED17-ED33</f>
        <v>-8573.4817745915989</v>
      </c>
      <c r="EE39" s="19">
        <f>EE17-EE33</f>
        <v>-281.12161567262001</v>
      </c>
      <c r="EF39" s="19">
        <f>EF17-EF33</f>
        <v>3258.1733658744101</v>
      </c>
      <c r="EG39" s="19">
        <f>EG17-EG33</f>
        <v>-880.42203716085999</v>
      </c>
      <c r="EH39" s="19">
        <f>EH17-EH33</f>
        <v>-1000.15506844218</v>
      </c>
      <c r="EI39" s="19">
        <f>EI17-EI33</f>
        <v>-1924.5644375886502</v>
      </c>
      <c r="EJ39" s="19">
        <f>EJ17-EJ33</f>
        <v>-2539.1728346335503</v>
      </c>
      <c r="EK39" s="19">
        <f>EK17-EK33</f>
        <v>-79.070667443079998</v>
      </c>
      <c r="EL39" s="19">
        <f>EL17-EL33</f>
        <v>141.23661266118998</v>
      </c>
      <c r="EM39" s="19">
        <f>EM17-EM33</f>
        <v>2278.9503258391915</v>
      </c>
      <c r="EN39" s="19">
        <f>EN17-EN33</f>
        <v>-6262.4764684346801</v>
      </c>
      <c r="EO39" s="19">
        <f>EO17-EO33</f>
        <v>102.72672584288989</v>
      </c>
      <c r="EP39" s="18">
        <f>+SUM(ED39:EO39)</f>
        <v>-15759.37787374954</v>
      </c>
      <c r="EQ39" s="19">
        <f>EQ17-EQ33</f>
        <v>3036.2422426500898</v>
      </c>
      <c r="ER39" s="19">
        <f>ER17-ER33</f>
        <v>-398.97665100991998</v>
      </c>
      <c r="ES39" s="19">
        <f>ES17-ES33</f>
        <v>-158.57457986965997</v>
      </c>
      <c r="ET39" s="19">
        <f>ET17-ET33</f>
        <v>-702.86725052541999</v>
      </c>
      <c r="EU39" s="19">
        <f>EU17-EU33</f>
        <v>-254.12538893836998</v>
      </c>
      <c r="EV39" s="19">
        <f>EV17-EV33</f>
        <v>-981.52975666022019</v>
      </c>
      <c r="EW39" s="19">
        <f>EW17-EW33</f>
        <v>-2749.6300750485002</v>
      </c>
      <c r="EX39" s="19">
        <f>EX17-EX33</f>
        <v>-318.97334855167992</v>
      </c>
      <c r="EY39" s="19">
        <f>EY17-EY33</f>
        <v>44.999710123129972</v>
      </c>
      <c r="EZ39" s="19">
        <f>EZ17-EZ33</f>
        <v>-449.17052486755995</v>
      </c>
      <c r="FA39" s="19">
        <f>FA17-FA33</f>
        <v>191.50215578998001</v>
      </c>
      <c r="FB39" s="19">
        <f>FB17-FB33</f>
        <v>-34.649876233840018</v>
      </c>
      <c r="FC39" s="18">
        <f>+SUM(EQ39:FB39)</f>
        <v>-2775.7533431419697</v>
      </c>
      <c r="FD39" s="19">
        <f>FD17-FD33</f>
        <v>-2185.8292938935797</v>
      </c>
      <c r="FE39" s="19">
        <f>FE17-FE33</f>
        <v>-453.81995206866998</v>
      </c>
      <c r="FF39" s="19">
        <f>FF17-FF33</f>
        <v>5760.2430766252201</v>
      </c>
      <c r="FG39" s="19">
        <f>FG17-FG33</f>
        <v>-788.43686272208993</v>
      </c>
      <c r="FH39" s="19">
        <f>FH17-FH33</f>
        <v>-279.16722105154003</v>
      </c>
      <c r="FI39" s="19">
        <f>FI17-FI33</f>
        <v>-922.19920753973008</v>
      </c>
      <c r="FJ39" s="19">
        <f>FJ17-FJ33</f>
        <v>-2671.9404746854202</v>
      </c>
      <c r="FK39" s="19">
        <f>FK17-FK33</f>
        <v>-324.68587228256001</v>
      </c>
      <c r="FL39" s="19">
        <f>FL17-FL33</f>
        <v>-13.024755383580015</v>
      </c>
      <c r="FM39" s="19">
        <f>FM17-FM33</f>
        <v>-3068.35620049094</v>
      </c>
      <c r="FN39" s="19">
        <f>FN17-FN33</f>
        <v>7728.9458132886502</v>
      </c>
      <c r="FO39" s="19">
        <f>FO17-FO33</f>
        <v>203.34114403934996</v>
      </c>
      <c r="FP39" s="18">
        <f>+SUM(FD39:FO39)</f>
        <v>2985.0701938351103</v>
      </c>
      <c r="FQ39" s="19">
        <f>FQ17-FQ33</f>
        <v>-3175.9993555358301</v>
      </c>
      <c r="FR39" s="19">
        <f>FR17-FR33</f>
        <v>-359.19231450678001</v>
      </c>
      <c r="FS39" s="19">
        <f>FS17-FS33</f>
        <v>-108.08640531152901</v>
      </c>
      <c r="FT39" s="19">
        <f>FT17-FT33</f>
        <v>-839.15231546727</v>
      </c>
      <c r="FU39" s="19">
        <f>FU17-FU33</f>
        <v>-357.43226319726</v>
      </c>
      <c r="FV39" s="19">
        <f>FV17-FV33</f>
        <v>15575.33141077156</v>
      </c>
      <c r="FW39" s="19">
        <f>FW17-FW33</f>
        <v>-3723.2084826314499</v>
      </c>
      <c r="FX39" s="19">
        <f>FX17-FX33</f>
        <v>-304.36959132169005</v>
      </c>
      <c r="FY39" s="19">
        <f>FY17-FY33</f>
        <v>150.68385055888001</v>
      </c>
      <c r="FZ39" s="19">
        <f>FZ17-FZ33</f>
        <v>-832.19137580050005</v>
      </c>
      <c r="GA39" s="19">
        <f>GA17-GA33</f>
        <v>-406.79478305426005</v>
      </c>
      <c r="GB39" s="19">
        <f>GB17-GB33</f>
        <v>12498.951458395748</v>
      </c>
      <c r="GC39" s="18">
        <f>+SUM(FQ39:GB39)</f>
        <v>18118.539832899616</v>
      </c>
      <c r="GD39" s="19">
        <f>GD17-GD33</f>
        <v>-18595.984279974917</v>
      </c>
      <c r="GE39" s="19">
        <f>GE17-GE33</f>
        <v>6637.6673901445301</v>
      </c>
      <c r="GF39" s="19">
        <f>GF17-GF33</f>
        <v>123.67096263476002</v>
      </c>
      <c r="GG39" s="19">
        <f>GG17-GG33</f>
        <v>-7519.75353932697</v>
      </c>
      <c r="GH39" s="19">
        <f>GH17-GH33</f>
        <v>-303.14682800925999</v>
      </c>
      <c r="GI39" s="19">
        <f>GI17-GI33</f>
        <v>4703.6206382746113</v>
      </c>
      <c r="GJ39" s="19">
        <f>GJ17-GJ33</f>
        <v>8226.6978559345916</v>
      </c>
      <c r="GK39" s="19">
        <f>GK17-GK33</f>
        <v>744.49355984853992</v>
      </c>
      <c r="GL39" s="19">
        <f>GL17-GL33</f>
        <v>-12.595099355729985</v>
      </c>
      <c r="GM39" s="19">
        <f>GM17-GM33</f>
        <v>-835.23844690195006</v>
      </c>
      <c r="GN39" s="19">
        <f>GN17-GN33</f>
        <v>-362.93681826951001</v>
      </c>
      <c r="GO39" s="19">
        <f>GO17-GO33</f>
        <v>-1002.7351325342599</v>
      </c>
      <c r="GP39" s="18">
        <f>+SUM(GD39:GO39)</f>
        <v>-8196.2397375355649</v>
      </c>
      <c r="GQ39" s="19">
        <f>GQ17-GQ33</f>
        <v>-5877.7459480011994</v>
      </c>
      <c r="GR39" s="19">
        <f>GR17-GR33</f>
        <v>-491.0983041545</v>
      </c>
      <c r="GS39" s="19">
        <f>GS17-GS33</f>
        <v>-354.75028063906001</v>
      </c>
      <c r="GT39" s="19">
        <f>GT17-GT33</f>
        <v>-715.75403701281994</v>
      </c>
      <c r="GU39" s="19">
        <f>GU17-GU33</f>
        <v>3787.74953181418</v>
      </c>
      <c r="GV39" s="19">
        <f>GV17-GV33</f>
        <v>7.4301938103999419</v>
      </c>
      <c r="GW39" s="19">
        <f>GW17-GW33</f>
        <v>-3134.0396823227898</v>
      </c>
      <c r="GX39" s="19">
        <f>GX17-GX33</f>
        <v>-85.901102542059959</v>
      </c>
      <c r="GY39" s="19">
        <f>GY17-GY33</f>
        <v>-311.66912302944002</v>
      </c>
      <c r="GZ39" s="19">
        <f>GZ17-GZ33</f>
        <v>-772.76276125000004</v>
      </c>
      <c r="HA39" s="19">
        <f>HA17-HA33</f>
        <v>1439.1595277899999</v>
      </c>
      <c r="HB39" s="19">
        <f>HB17-HB33</f>
        <v>-357.97275811000009</v>
      </c>
      <c r="HC39" s="18">
        <f>+SUM(GQ39:HB39)</f>
        <v>-6867.3547436472891</v>
      </c>
      <c r="HD39" s="19">
        <f>HD17-HD33</f>
        <v>-14737.11730433</v>
      </c>
      <c r="HE39" s="19">
        <f>HE17-HE33</f>
        <v>-570.1386303999999</v>
      </c>
      <c r="HF39" s="19">
        <f>HF17-HF33</f>
        <v>-565.29913099999999</v>
      </c>
      <c r="HG39" s="19">
        <f>HG17-HG33</f>
        <v>10185.31786707</v>
      </c>
      <c r="HH39" s="19">
        <f>HH17-HH33</f>
        <v>-359.87717377000001</v>
      </c>
      <c r="HI39" s="19">
        <f>HI17-HI33</f>
        <v>-1118.49871487</v>
      </c>
      <c r="HJ39" s="19">
        <f>HJ17-HJ33</f>
        <v>-2761.3400946699999</v>
      </c>
      <c r="HK39" s="19">
        <f>HK17-HK33</f>
        <v>-461.69211200000001</v>
      </c>
      <c r="HL39" s="19">
        <f>HL17-HL33</f>
        <v>-664.23808341000006</v>
      </c>
      <c r="HM39" s="19">
        <f>HM17-HM33</f>
        <v>-647.62822482000001</v>
      </c>
      <c r="HN39" s="19">
        <f>HN17-HN33</f>
        <v>9320.0037594599999</v>
      </c>
      <c r="HO39" s="19">
        <f>HO17-HO33</f>
        <v>4426.0072643799995</v>
      </c>
      <c r="HP39" s="18">
        <f>+SUM(HD39:HO39)</f>
        <v>2045.4994216399973</v>
      </c>
      <c r="HQ39" s="19">
        <f>HQ17-HQ33</f>
        <v>15844.574975179999</v>
      </c>
      <c r="HR39" s="19">
        <f>HR17-HR33</f>
        <v>-541.87324361000003</v>
      </c>
      <c r="HS39" s="19">
        <f>HS17-HS33</f>
        <v>-1091.2635700400001</v>
      </c>
      <c r="HT39" s="19">
        <f>HT17-HT33</f>
        <v>-6704.5976606900003</v>
      </c>
      <c r="HU39" s="19">
        <f>HU17-HU33</f>
        <v>-617.20644431999995</v>
      </c>
      <c r="HV39" s="19">
        <f>HV17-HV33</f>
        <v>9844.3573152999998</v>
      </c>
      <c r="HW39" s="19">
        <f>HW17-HW33</f>
        <v>-3030.4410797300006</v>
      </c>
      <c r="HX39" s="19">
        <f>HX17-HX33</f>
        <v>-274.30939395000007</v>
      </c>
      <c r="HY39" s="19">
        <f>HY17-HY33</f>
        <v>-1909.9757108100002</v>
      </c>
      <c r="HZ39" s="19">
        <f>HZ17-HZ33</f>
        <v>-978.24958052000011</v>
      </c>
      <c r="IA39" s="19">
        <f>IA17-IA33</f>
        <v>-500.39371025000003</v>
      </c>
      <c r="IB39" s="19">
        <f>IB17-IB33</f>
        <v>-862.57245670000009</v>
      </c>
      <c r="IC39" s="18">
        <f>+SUM(HQ39:IB39)</f>
        <v>9178.0494398599967</v>
      </c>
      <c r="ID39" s="19">
        <f>ID17-ID33</f>
        <v>-29791.05071313</v>
      </c>
      <c r="IE39" s="19">
        <f>IE17-IE33</f>
        <v>9735.7786912400006</v>
      </c>
      <c r="IF39" s="19">
        <f>IF17-IF33</f>
        <v>-1727.3897586600001</v>
      </c>
      <c r="IG39" s="19">
        <f>IG17-IG33</f>
        <v>-1433.0195890200002</v>
      </c>
      <c r="IH39" s="19">
        <f>IH17-IH33</f>
        <v>-1010.6641885399999</v>
      </c>
      <c r="II39" s="19">
        <f>II17-II33</f>
        <v>4572.1424973800003</v>
      </c>
      <c r="IJ39" s="19">
        <f>IJ17-IJ33</f>
        <v>-2768.6131418599998</v>
      </c>
      <c r="IK39" s="19">
        <f>IK17-IK33</f>
        <v>-304.34284733000004</v>
      </c>
      <c r="IL39" s="19">
        <f>IL17-IL33</f>
        <v>6932.7790750499989</v>
      </c>
      <c r="IM39" s="19">
        <f>IM17-IM33</f>
        <v>-1356.4072864099999</v>
      </c>
      <c r="IN39" s="19">
        <f>IN17-IN33</f>
        <v>11268.922850339999</v>
      </c>
      <c r="IO39" s="19">
        <f>IO17-IO33</f>
        <v>-892.91370938999989</v>
      </c>
      <c r="IP39" s="18">
        <f>+SUM(ID39:IO39)</f>
        <v>-6774.7781203299992</v>
      </c>
      <c r="IQ39" s="19">
        <f>IQ17-IQ33</f>
        <v>-1736.5564271999992</v>
      </c>
      <c r="IR39" s="19">
        <f>IR17-IR33</f>
        <v>22944.253868739997</v>
      </c>
      <c r="IS39" s="19">
        <f>IS17-IS33</f>
        <v>-3070.2136115499998</v>
      </c>
      <c r="IT39" s="19">
        <f>IT17-IT33</f>
        <v>15914.975056429999</v>
      </c>
      <c r="IU39" s="19">
        <f>IU17-IU33</f>
        <v>-1155.6635260600001</v>
      </c>
      <c r="IV39" s="19">
        <f>IV17-IV33</f>
        <v>-1100.45553657</v>
      </c>
      <c r="IW39" s="19">
        <f>IW17-IW33</f>
        <v>-3224.5111737500001</v>
      </c>
      <c r="IX39" s="19">
        <f>IX17-IX33</f>
        <v>-532.98825794000004</v>
      </c>
      <c r="IY39" s="18">
        <f>+SUM(IQ39:IX39)</f>
        <v>28038.840392099995</v>
      </c>
    </row>
    <row r="40" spans="1:259" s="11" customFormat="1" ht="12" customHeight="1" thickBo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17"/>
      <c r="IU40" s="17"/>
      <c r="IV40" s="17"/>
      <c r="IW40" s="17"/>
      <c r="IX40" s="17"/>
      <c r="IY40" s="17"/>
    </row>
    <row r="41" spans="1:259" s="11" customFormat="1" x14ac:dyDescent="0.25">
      <c r="A41" s="16" t="s">
        <v>4</v>
      </c>
      <c r="B41" s="1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4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 spans="1:259" s="11" customFormat="1" x14ac:dyDescent="0.25">
      <c r="A42" s="16" t="s">
        <v>3</v>
      </c>
      <c r="B42" s="15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4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GI42" s="12"/>
    </row>
    <row r="43" spans="1:259" s="11" customFormat="1" ht="15" hidden="1" customHeight="1" x14ac:dyDescent="0.25">
      <c r="A43" s="6" t="s">
        <v>2</v>
      </c>
      <c r="B43" s="6"/>
      <c r="C43" s="6"/>
      <c r="D43" s="6"/>
      <c r="E43" s="6"/>
      <c r="F43" s="6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BP43" s="12"/>
      <c r="CC43" s="12"/>
    </row>
    <row r="44" spans="1:259" ht="15" customHeight="1" x14ac:dyDescent="0.35">
      <c r="A44" s="6" t="s">
        <v>1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BP44" s="5"/>
      <c r="CC44" s="5"/>
      <c r="CT44" s="5"/>
      <c r="CU44" s="5"/>
      <c r="CV44" s="5"/>
      <c r="CW44" s="5"/>
      <c r="CX44" s="5"/>
      <c r="CY44" s="5"/>
      <c r="CZ44" s="5"/>
      <c r="DA44" s="5"/>
      <c r="DB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10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9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9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9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9"/>
      <c r="IQ44" s="5"/>
      <c r="IR44" s="5"/>
      <c r="IS44" s="5"/>
      <c r="IT44" s="5"/>
      <c r="IU44" s="5"/>
      <c r="IV44" s="5"/>
      <c r="IW44" s="5"/>
      <c r="IX44" s="5"/>
      <c r="IY44" s="9"/>
    </row>
    <row r="45" spans="1:259" ht="15" customHeight="1" x14ac:dyDescent="0.35">
      <c r="A45" s="8" t="s">
        <v>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5"/>
      <c r="GG45" s="5"/>
      <c r="GH45" s="5"/>
      <c r="GI45" s="7"/>
      <c r="GJ45" s="5"/>
      <c r="GK45" s="5"/>
      <c r="GL45" s="5"/>
      <c r="GM45" s="5"/>
      <c r="GN45" s="5"/>
      <c r="GO45" s="5"/>
      <c r="GP45" s="5"/>
      <c r="GQ45" s="6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6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6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6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6"/>
      <c r="IR45" s="5"/>
      <c r="IS45" s="5"/>
      <c r="IT45" s="5"/>
      <c r="IU45" s="5"/>
      <c r="IV45" s="5"/>
      <c r="IW45" s="5"/>
      <c r="IX45" s="5"/>
      <c r="IY45" s="5"/>
    </row>
    <row r="46" spans="1:259" x14ac:dyDescent="0.35"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1:259" x14ac:dyDescent="0.35">
      <c r="ID47" s="5"/>
      <c r="IQ47" s="5"/>
    </row>
    <row r="48" spans="1:259" x14ac:dyDescent="0.35"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</row>
    <row r="49" spans="59:59" x14ac:dyDescent="0.35">
      <c r="BG49" s="3"/>
    </row>
  </sheetData>
  <pageMargins left="0.39370078740157483" right="0.39370078740157483" top="0.39370078740157483" bottom="0.39370078740157483" header="0.51181102362204722" footer="0.39370078740157483"/>
  <pageSetup paperSize="9" scale="78" orientation="landscape" horizontalDpi="1200" verticalDpi="1200" r:id="rId1"/>
  <headerFooter alignWithMargins="0">
    <oddFooter>&amp;L&amp;"Trebuchet MS,Normal"&amp;8Relatório Mensal da Dívida Pública Federal&amp;C&amp;"Trebuchet MS,Normal"&amp;8Anexo 1.1&amp;R&amp;"Trebuchet MS,Normal"&amp;8Tesouro Nacional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1.1</vt:lpstr>
      <vt:lpstr>'1.1'!Area_de_impressao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Matte Russomanno</dc:creator>
  <cp:lastModifiedBy>Gustavo Matte Russomanno</cp:lastModifiedBy>
  <dcterms:created xsi:type="dcterms:W3CDTF">2026-09-30T14:04:42Z</dcterms:created>
  <dcterms:modified xsi:type="dcterms:W3CDTF">2026-09-30T14:07:07Z</dcterms:modified>
</cp:coreProperties>
</file>